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346f22d159ec06e/Desktop/Final Project Files/"/>
    </mc:Choice>
  </mc:AlternateContent>
  <xr:revisionPtr revIDLastSave="0" documentId="8_{21C547EC-DB9D-45D0-BED1-5B7997787AE0}" xr6:coauthVersionLast="47" xr6:coauthVersionMax="47" xr10:uidLastSave="{00000000-0000-0000-0000-000000000000}"/>
  <bookViews>
    <workbookView xWindow="-108" yWindow="-108" windowWidth="23256" windowHeight="12456" tabRatio="500" firstSheet="7" activeTab="9" xr2:uid="{00000000-000D-0000-FFFF-FFFF00000000}"/>
  </bookViews>
  <sheets>
    <sheet name="Assumptions" sheetId="1" r:id="rId1"/>
    <sheet name="Balance Sheet" sheetId="2" r:id="rId2"/>
    <sheet name="Profit &amp; Loss" sheetId="3" r:id="rId3"/>
    <sheet name="Changes in Equity" sheetId="4" r:id="rId4"/>
    <sheet name="Cash Flow Statement" sheetId="5" r:id="rId5"/>
    <sheet name="Projected Cash Flow" sheetId="6" r:id="rId6"/>
    <sheet name="Projected Balance Sheet" sheetId="7" r:id="rId7"/>
    <sheet name="Debt Schedule" sheetId="8" r:id="rId8"/>
    <sheet name="Projected Profit and Loss" sheetId="9" r:id="rId9"/>
    <sheet name="DCF Valuation" sheetId="10" r:id="rId10"/>
    <sheet name="Comps Valuation" sheetId="11" r:id="rId1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1" i="11" l="1"/>
  <c r="B25" i="11"/>
  <c r="B22" i="11"/>
  <c r="C9" i="11"/>
  <c r="C19" i="9"/>
  <c r="C15" i="9"/>
  <c r="E13" i="9"/>
  <c r="F13" i="9" s="1"/>
  <c r="G13" i="9" s="1"/>
  <c r="H13" i="9" s="1"/>
  <c r="D13" i="9"/>
  <c r="C13" i="9"/>
  <c r="C12" i="9"/>
  <c r="C10" i="9"/>
  <c r="C7" i="6" s="1"/>
  <c r="C9" i="9"/>
  <c r="C7" i="9"/>
  <c r="C16" i="8"/>
  <c r="C15" i="8"/>
  <c r="C12" i="8"/>
  <c r="B21" i="11" s="1"/>
  <c r="C5" i="8"/>
  <c r="C48" i="7"/>
  <c r="D48" i="7" s="1"/>
  <c r="E48" i="7" s="1"/>
  <c r="F48" i="7" s="1"/>
  <c r="G48" i="7" s="1"/>
  <c r="H48" i="7" s="1"/>
  <c r="C47" i="7"/>
  <c r="D47" i="7" s="1"/>
  <c r="E47" i="7" s="1"/>
  <c r="F47" i="7" s="1"/>
  <c r="G47" i="7" s="1"/>
  <c r="H47" i="7" s="1"/>
  <c r="C46" i="7"/>
  <c r="D46" i="7" s="1"/>
  <c r="E46" i="7" s="1"/>
  <c r="F46" i="7" s="1"/>
  <c r="G46" i="7" s="1"/>
  <c r="H46" i="7" s="1"/>
  <c r="C45" i="7"/>
  <c r="C44" i="7"/>
  <c r="D44" i="7" s="1"/>
  <c r="E44" i="7" s="1"/>
  <c r="F44" i="7" s="1"/>
  <c r="G44" i="7" s="1"/>
  <c r="H44" i="7" s="1"/>
  <c r="C42" i="7"/>
  <c r="C49" i="7" s="1"/>
  <c r="C37" i="7"/>
  <c r="D37" i="7" s="1"/>
  <c r="E37" i="7" s="1"/>
  <c r="F37" i="7" s="1"/>
  <c r="G37" i="7" s="1"/>
  <c r="H37" i="7" s="1"/>
  <c r="C36" i="7"/>
  <c r="D36" i="7" s="1"/>
  <c r="E36" i="7" s="1"/>
  <c r="F36" i="7" s="1"/>
  <c r="G36" i="7" s="1"/>
  <c r="H36" i="7" s="1"/>
  <c r="C35" i="7"/>
  <c r="D35" i="7" s="1"/>
  <c r="E35" i="7" s="1"/>
  <c r="F35" i="7" s="1"/>
  <c r="G35" i="7" s="1"/>
  <c r="H35" i="7" s="1"/>
  <c r="C34" i="7"/>
  <c r="D34" i="7" s="1"/>
  <c r="E34" i="7" s="1"/>
  <c r="F34" i="7" s="1"/>
  <c r="G34" i="7" s="1"/>
  <c r="H34" i="7" s="1"/>
  <c r="E33" i="7"/>
  <c r="F33" i="7" s="1"/>
  <c r="G33" i="7" s="1"/>
  <c r="H33" i="7" s="1"/>
  <c r="D33" i="7"/>
  <c r="C33" i="7"/>
  <c r="C32" i="7"/>
  <c r="D32" i="7" s="1"/>
  <c r="E32" i="7" s="1"/>
  <c r="F32" i="7" s="1"/>
  <c r="G32" i="7" s="1"/>
  <c r="H32" i="7" s="1"/>
  <c r="C31" i="7"/>
  <c r="C38" i="7" s="1"/>
  <c r="C51" i="7" s="1"/>
  <c r="C26" i="7"/>
  <c r="H26" i="7" s="1"/>
  <c r="C25" i="7"/>
  <c r="C24" i="7"/>
  <c r="C27" i="7" s="1"/>
  <c r="C17" i="7"/>
  <c r="D17" i="7" s="1"/>
  <c r="E17" i="7" s="1"/>
  <c r="F17" i="7" s="1"/>
  <c r="G17" i="7" s="1"/>
  <c r="H17" i="7" s="1"/>
  <c r="E16" i="7"/>
  <c r="F16" i="7" s="1"/>
  <c r="G16" i="7" s="1"/>
  <c r="H16" i="7" s="1"/>
  <c r="D16" i="7"/>
  <c r="C16" i="7"/>
  <c r="C15" i="7"/>
  <c r="D15" i="7" s="1"/>
  <c r="E15" i="7" s="1"/>
  <c r="F15" i="7" s="1"/>
  <c r="G15" i="7" s="1"/>
  <c r="H15" i="7" s="1"/>
  <c r="C14" i="7"/>
  <c r="C13" i="7"/>
  <c r="C9" i="6" s="1"/>
  <c r="C12" i="7"/>
  <c r="D12" i="7" s="1"/>
  <c r="E12" i="7" s="1"/>
  <c r="F12" i="7" s="1"/>
  <c r="G12" i="7" s="1"/>
  <c r="H12" i="7" s="1"/>
  <c r="C10" i="7"/>
  <c r="C18" i="7" s="1"/>
  <c r="C6" i="7"/>
  <c r="D6" i="7" s="1"/>
  <c r="E6" i="7" s="1"/>
  <c r="F6" i="7" s="1"/>
  <c r="G6" i="7" s="1"/>
  <c r="H6" i="7" s="1"/>
  <c r="C5" i="7"/>
  <c r="C7" i="7" s="1"/>
  <c r="C20" i="7" s="1"/>
  <c r="D25" i="6"/>
  <c r="C25" i="6"/>
  <c r="C21" i="6"/>
  <c r="C19" i="6"/>
  <c r="C16" i="6"/>
  <c r="C15" i="6"/>
  <c r="C11" i="6"/>
  <c r="C10" i="6"/>
  <c r="C8" i="6"/>
  <c r="D90" i="5"/>
  <c r="C90" i="5"/>
  <c r="B90" i="5"/>
  <c r="E82" i="5"/>
  <c r="D82" i="5"/>
  <c r="C82" i="5"/>
  <c r="B82" i="5"/>
  <c r="E73" i="5"/>
  <c r="D73" i="5"/>
  <c r="C73" i="5"/>
  <c r="B73" i="5"/>
  <c r="E68" i="5"/>
  <c r="D68" i="5"/>
  <c r="C68" i="5"/>
  <c r="B68" i="5"/>
  <c r="E62" i="5"/>
  <c r="D62" i="5"/>
  <c r="C62" i="5"/>
  <c r="B62" i="5"/>
  <c r="C52" i="5"/>
  <c r="B52" i="5"/>
  <c r="E49" i="5"/>
  <c r="D49" i="5"/>
  <c r="C49" i="5"/>
  <c r="B49" i="5"/>
  <c r="E35" i="5"/>
  <c r="D35" i="5"/>
  <c r="C35" i="5"/>
  <c r="B35" i="5"/>
  <c r="E21" i="5"/>
  <c r="D21" i="5"/>
  <c r="C21" i="5"/>
  <c r="C22" i="5" s="1"/>
  <c r="C24" i="5" s="1"/>
  <c r="C51" i="5" s="1"/>
  <c r="C53" i="5" s="1"/>
  <c r="D68" i="2" s="1"/>
  <c r="B21" i="5"/>
  <c r="E16" i="5"/>
  <c r="E22" i="5" s="1"/>
  <c r="E24" i="5" s="1"/>
  <c r="E51" i="5" s="1"/>
  <c r="E53" i="5" s="1"/>
  <c r="C16" i="5"/>
  <c r="E15" i="5"/>
  <c r="D15" i="5"/>
  <c r="D16" i="5" s="1"/>
  <c r="D22" i="5" s="1"/>
  <c r="D24" i="5" s="1"/>
  <c r="D51" i="5" s="1"/>
  <c r="C15" i="5"/>
  <c r="B15" i="5"/>
  <c r="B16" i="5" s="1"/>
  <c r="B22" i="5" s="1"/>
  <c r="B24" i="5" s="1"/>
  <c r="B51" i="5" s="1"/>
  <c r="B53" i="5" s="1"/>
  <c r="C68" i="2" s="1"/>
  <c r="J70" i="4"/>
  <c r="I70" i="4"/>
  <c r="H70" i="4"/>
  <c r="G70" i="4"/>
  <c r="F70" i="4"/>
  <c r="E70" i="4"/>
  <c r="D70" i="4"/>
  <c r="C70" i="4"/>
  <c r="B70" i="4"/>
  <c r="K69" i="4"/>
  <c r="K68" i="4"/>
  <c r="K67" i="4"/>
  <c r="K66" i="4"/>
  <c r="K65" i="4"/>
  <c r="K64" i="4"/>
  <c r="K63" i="4"/>
  <c r="K62" i="4"/>
  <c r="K61" i="4"/>
  <c r="K60" i="4"/>
  <c r="K70" i="4" s="1"/>
  <c r="K58" i="4"/>
  <c r="K50" i="4"/>
  <c r="J50" i="4"/>
  <c r="I50" i="4"/>
  <c r="H50" i="4"/>
  <c r="G50" i="4"/>
  <c r="F50" i="4"/>
  <c r="E50" i="4"/>
  <c r="D50" i="4"/>
  <c r="C50" i="4"/>
  <c r="B50" i="4"/>
  <c r="J23" i="4"/>
  <c r="I23" i="4"/>
  <c r="H23" i="4"/>
  <c r="G23" i="4"/>
  <c r="F23" i="4"/>
  <c r="E23" i="4"/>
  <c r="D23" i="4"/>
  <c r="C23" i="4"/>
  <c r="B23" i="4"/>
  <c r="K22" i="4"/>
  <c r="K21" i="4"/>
  <c r="K20" i="4"/>
  <c r="K19" i="4"/>
  <c r="K18" i="4"/>
  <c r="K17" i="4"/>
  <c r="K15" i="4"/>
  <c r="K14" i="4"/>
  <c r="K13" i="4"/>
  <c r="K12" i="4"/>
  <c r="K11" i="4"/>
  <c r="K10" i="4"/>
  <c r="K9" i="4"/>
  <c r="K8" i="4"/>
  <c r="K23" i="4" s="1"/>
  <c r="K6" i="4"/>
  <c r="F52" i="3"/>
  <c r="E52" i="3"/>
  <c r="D52" i="3"/>
  <c r="C52" i="3"/>
  <c r="F51" i="3"/>
  <c r="E51" i="3"/>
  <c r="D51" i="3"/>
  <c r="C51" i="3"/>
  <c r="F39" i="3"/>
  <c r="E39" i="3"/>
  <c r="D39" i="3"/>
  <c r="C39" i="3"/>
  <c r="F23" i="3"/>
  <c r="E23" i="3"/>
  <c r="D23" i="3"/>
  <c r="C23" i="3"/>
  <c r="F8" i="3"/>
  <c r="F10" i="3" s="1"/>
  <c r="E8" i="3"/>
  <c r="E10" i="3" s="1"/>
  <c r="D8" i="3"/>
  <c r="D10" i="3" s="1"/>
  <c r="C8" i="3"/>
  <c r="C10" i="3" s="1"/>
  <c r="F63" i="2"/>
  <c r="F61" i="2"/>
  <c r="E61" i="2"/>
  <c r="E63" i="2" s="1"/>
  <c r="D61" i="2"/>
  <c r="D63" i="2" s="1"/>
  <c r="C61" i="2"/>
  <c r="C63" i="2" s="1"/>
  <c r="C65" i="2" s="1"/>
  <c r="I55" i="2"/>
  <c r="H55" i="2"/>
  <c r="G55" i="2"/>
  <c r="E53" i="2"/>
  <c r="F51" i="2"/>
  <c r="E51" i="2"/>
  <c r="D51" i="2"/>
  <c r="C51" i="2"/>
  <c r="I45" i="2"/>
  <c r="H45" i="2"/>
  <c r="G45" i="2"/>
  <c r="F40" i="2"/>
  <c r="F65" i="2" s="1"/>
  <c r="E40" i="2"/>
  <c r="D40" i="2"/>
  <c r="C40" i="2"/>
  <c r="I39" i="2"/>
  <c r="H39" i="2"/>
  <c r="G39" i="2"/>
  <c r="I38" i="2"/>
  <c r="H38" i="2"/>
  <c r="G38" i="2"/>
  <c r="F33" i="2"/>
  <c r="E33" i="2"/>
  <c r="D33" i="2"/>
  <c r="C33" i="2"/>
  <c r="F31" i="2"/>
  <c r="E31" i="2"/>
  <c r="D31" i="2"/>
  <c r="C31" i="2"/>
  <c r="I30" i="2"/>
  <c r="H30" i="2"/>
  <c r="G30" i="2"/>
  <c r="I29" i="2"/>
  <c r="H29" i="2"/>
  <c r="G29" i="2"/>
  <c r="I28" i="2"/>
  <c r="H28" i="2"/>
  <c r="G28" i="2"/>
  <c r="I25" i="2"/>
  <c r="H25" i="2"/>
  <c r="G25" i="2"/>
  <c r="E21" i="2"/>
  <c r="D21" i="2"/>
  <c r="C21" i="2"/>
  <c r="F20" i="2"/>
  <c r="E20" i="2"/>
  <c r="D20" i="2"/>
  <c r="C20" i="2"/>
  <c r="H17" i="1"/>
  <c r="G17" i="1"/>
  <c r="F17" i="1"/>
  <c r="E17" i="1"/>
  <c r="D17" i="1"/>
  <c r="C17" i="1"/>
  <c r="B17" i="1"/>
  <c r="E16" i="1"/>
  <c r="F16" i="1" s="1"/>
  <c r="G16" i="1" s="1"/>
  <c r="H16" i="1" s="1"/>
  <c r="D16" i="1"/>
  <c r="C16" i="1"/>
  <c r="B16" i="1"/>
  <c r="B15" i="1"/>
  <c r="C15" i="1" s="1"/>
  <c r="D15" i="1" s="1"/>
  <c r="E15" i="1" s="1"/>
  <c r="F15" i="1" s="1"/>
  <c r="G15" i="1" s="1"/>
  <c r="H15" i="1" s="1"/>
  <c r="B13" i="1"/>
  <c r="E13" i="1" s="1"/>
  <c r="F13" i="1" s="1"/>
  <c r="G13" i="1" s="1"/>
  <c r="H13" i="1" s="1"/>
  <c r="B12" i="1"/>
  <c r="C12" i="1" s="1"/>
  <c r="D12" i="1" s="1"/>
  <c r="E12" i="1" s="1"/>
  <c r="F12" i="1" s="1"/>
  <c r="G12" i="1" s="1"/>
  <c r="H12" i="1" s="1"/>
  <c r="C60" i="10"/>
  <c r="B39" i="10"/>
  <c r="B21" i="10"/>
  <c r="D65" i="2" l="1"/>
  <c r="E65" i="2"/>
  <c r="D52" i="5"/>
  <c r="D53" i="5" s="1"/>
  <c r="E68" i="2" s="1"/>
  <c r="F68" i="2"/>
  <c r="J48" i="2"/>
  <c r="B26" i="1" s="1"/>
  <c r="C26" i="1" s="1"/>
  <c r="D26" i="1" s="1"/>
  <c r="E26" i="1" s="1"/>
  <c r="F26" i="1" s="1"/>
  <c r="G26" i="1" s="1"/>
  <c r="H26" i="1" s="1"/>
  <c r="C12" i="3"/>
  <c r="C25" i="3" s="1"/>
  <c r="J60" i="2"/>
  <c r="B27" i="1" s="1"/>
  <c r="C27" i="1" s="1"/>
  <c r="D27" i="1" s="1"/>
  <c r="E27" i="1" s="1"/>
  <c r="F27" i="1" s="1"/>
  <c r="G27" i="1" s="1"/>
  <c r="H27" i="1" s="1"/>
  <c r="J47" i="2"/>
  <c r="B25" i="1" s="1"/>
  <c r="C25" i="1" s="1"/>
  <c r="D25" i="1" s="1"/>
  <c r="E25" i="1" s="1"/>
  <c r="F25" i="1" s="1"/>
  <c r="G25" i="1" s="1"/>
  <c r="H25" i="1" s="1"/>
  <c r="J30" i="2"/>
  <c r="J39" i="2"/>
  <c r="B22" i="1" s="1"/>
  <c r="J28" i="2"/>
  <c r="B7" i="1"/>
  <c r="C7" i="1" s="1"/>
  <c r="C6" i="9"/>
  <c r="J59" i="2"/>
  <c r="B32" i="1" s="1"/>
  <c r="C32" i="1" s="1"/>
  <c r="D32" i="1" s="1"/>
  <c r="E32" i="1" s="1"/>
  <c r="F32" i="1" s="1"/>
  <c r="G32" i="1" s="1"/>
  <c r="H32" i="1" s="1"/>
  <c r="J46" i="2"/>
  <c r="B24" i="1" s="1"/>
  <c r="C24" i="1" s="1"/>
  <c r="D24" i="1" s="1"/>
  <c r="E24" i="1" s="1"/>
  <c r="F24" i="1" s="1"/>
  <c r="G24" i="1" s="1"/>
  <c r="H24" i="1" s="1"/>
  <c r="B9" i="1"/>
  <c r="C9" i="1" s="1"/>
  <c r="J56" i="2"/>
  <c r="B29" i="1" s="1"/>
  <c r="C29" i="1" s="1"/>
  <c r="D29" i="1" s="1"/>
  <c r="E29" i="1" s="1"/>
  <c r="F29" i="1" s="1"/>
  <c r="G29" i="1" s="1"/>
  <c r="H29" i="1" s="1"/>
  <c r="B14" i="1"/>
  <c r="C14" i="1" s="1"/>
  <c r="D14" i="1" s="1"/>
  <c r="E14" i="1" s="1"/>
  <c r="F14" i="1" s="1"/>
  <c r="G14" i="1" s="1"/>
  <c r="H14" i="1" s="1"/>
  <c r="J45" i="2"/>
  <c r="B23" i="1" s="1"/>
  <c r="C23" i="1" s="1"/>
  <c r="D23" i="1" s="1"/>
  <c r="E23" i="1" s="1"/>
  <c r="F23" i="1" s="1"/>
  <c r="G23" i="1" s="1"/>
  <c r="H23" i="1" s="1"/>
  <c r="B11" i="1"/>
  <c r="E11" i="1" s="1"/>
  <c r="F11" i="1" s="1"/>
  <c r="G11" i="1" s="1"/>
  <c r="H11" i="1" s="1"/>
  <c r="J58" i="2"/>
  <c r="B31" i="1" s="1"/>
  <c r="C31" i="1" s="1"/>
  <c r="D31" i="1" s="1"/>
  <c r="E31" i="1" s="1"/>
  <c r="F31" i="1" s="1"/>
  <c r="G31" i="1" s="1"/>
  <c r="H31" i="1" s="1"/>
  <c r="J50" i="2"/>
  <c r="B28" i="1" s="1"/>
  <c r="C28" i="1" s="1"/>
  <c r="D28" i="1" s="1"/>
  <c r="E28" i="1" s="1"/>
  <c r="F28" i="1" s="1"/>
  <c r="G28" i="1" s="1"/>
  <c r="H28" i="1" s="1"/>
  <c r="J29" i="2"/>
  <c r="B6" i="1"/>
  <c r="C6" i="1" s="1"/>
  <c r="D6" i="1" s="1"/>
  <c r="E6" i="1" s="1"/>
  <c r="F6" i="1" s="1"/>
  <c r="G6" i="1" s="1"/>
  <c r="J25" i="2"/>
  <c r="B8" i="1"/>
  <c r="C8" i="1" s="1"/>
  <c r="C66" i="2"/>
  <c r="E12" i="3"/>
  <c r="E25" i="3" s="1"/>
  <c r="E30" i="3" s="1"/>
  <c r="E32" i="3" s="1"/>
  <c r="E40" i="3" s="1"/>
  <c r="L60" i="2"/>
  <c r="L47" i="2"/>
  <c r="L39" i="2"/>
  <c r="L28" i="2"/>
  <c r="L59" i="2"/>
  <c r="L46" i="2"/>
  <c r="L25" i="2"/>
  <c r="L30" i="2"/>
  <c r="L58" i="2"/>
  <c r="L50" i="2"/>
  <c r="L45" i="2"/>
  <c r="L56" i="2"/>
  <c r="L48" i="2"/>
  <c r="L29" i="2"/>
  <c r="D66" i="2"/>
  <c r="M45" i="2"/>
  <c r="M39" i="2"/>
  <c r="M28" i="2"/>
  <c r="M59" i="2"/>
  <c r="M46" i="2"/>
  <c r="M30" i="2"/>
  <c r="M58" i="2"/>
  <c r="M50" i="2"/>
  <c r="M25" i="2"/>
  <c r="M56" i="2"/>
  <c r="M48" i="2"/>
  <c r="M29" i="2"/>
  <c r="F12" i="3"/>
  <c r="F25" i="3" s="1"/>
  <c r="F30" i="3" s="1"/>
  <c r="F32" i="3" s="1"/>
  <c r="F40" i="3" s="1"/>
  <c r="M60" i="2"/>
  <c r="M47" i="2"/>
  <c r="E66" i="2"/>
  <c r="D12" i="3"/>
  <c r="D25" i="3" s="1"/>
  <c r="D30" i="3" s="1"/>
  <c r="D32" i="3" s="1"/>
  <c r="D40" i="3" s="1"/>
  <c r="K60" i="2"/>
  <c r="K47" i="2"/>
  <c r="K39" i="2"/>
  <c r="K28" i="2"/>
  <c r="K56" i="2"/>
  <c r="K59" i="2"/>
  <c r="K46" i="2"/>
  <c r="K30" i="2"/>
  <c r="K29" i="2"/>
  <c r="K58" i="2"/>
  <c r="K50" i="2"/>
  <c r="K45" i="2"/>
  <c r="K48" i="2"/>
  <c r="K25" i="2"/>
  <c r="F66" i="2"/>
  <c r="C52" i="7"/>
  <c r="C54" i="7" s="1"/>
  <c r="B28" i="10"/>
  <c r="D5" i="8"/>
  <c r="C18" i="8"/>
  <c r="D26" i="7"/>
  <c r="E26" i="7"/>
  <c r="F26" i="7"/>
  <c r="G26" i="7"/>
  <c r="D24" i="7"/>
  <c r="B23" i="10"/>
  <c r="D7" i="1" l="1"/>
  <c r="B10" i="1"/>
  <c r="C30" i="3"/>
  <c r="C32" i="3" s="1"/>
  <c r="C40" i="3" s="1"/>
  <c r="E24" i="7"/>
  <c r="D6" i="9"/>
  <c r="D7" i="9" s="1"/>
  <c r="C8" i="9"/>
  <c r="C11" i="9" s="1"/>
  <c r="C14" i="9" s="1"/>
  <c r="C16" i="9" s="1"/>
  <c r="H22" i="1"/>
  <c r="G22" i="1"/>
  <c r="F22" i="1"/>
  <c r="E22" i="1"/>
  <c r="D22" i="1"/>
  <c r="C22" i="1"/>
  <c r="D8" i="1"/>
  <c r="C59" i="10"/>
  <c r="B31" i="10"/>
  <c r="B29" i="10"/>
  <c r="B30" i="10" s="1"/>
  <c r="D10" i="9"/>
  <c r="D9" i="1"/>
  <c r="D10" i="7" l="1"/>
  <c r="D45" i="7"/>
  <c r="D10" i="6" s="1"/>
  <c r="D7" i="6"/>
  <c r="C9" i="10"/>
  <c r="B13" i="11"/>
  <c r="F24" i="7"/>
  <c r="E9" i="1"/>
  <c r="C10" i="1"/>
  <c r="B24" i="10"/>
  <c r="B25" i="10" s="1"/>
  <c r="C20" i="6"/>
  <c r="C22" i="6" s="1"/>
  <c r="C6" i="6"/>
  <c r="C12" i="6" s="1"/>
  <c r="B33" i="10"/>
  <c r="D19" i="9"/>
  <c r="E6" i="9"/>
  <c r="D8" i="9"/>
  <c r="D13" i="7"/>
  <c r="E8" i="1"/>
  <c r="D9" i="9"/>
  <c r="E7" i="1"/>
  <c r="C24" i="6" l="1"/>
  <c r="C26" i="6" s="1"/>
  <c r="C6" i="8"/>
  <c r="C9" i="8" s="1"/>
  <c r="D10" i="1"/>
  <c r="F8" i="1"/>
  <c r="E19" i="9"/>
  <c r="F6" i="9"/>
  <c r="F9" i="9" s="1"/>
  <c r="E13" i="7"/>
  <c r="G24" i="7"/>
  <c r="E9" i="9"/>
  <c r="C10" i="10"/>
  <c r="D15" i="6"/>
  <c r="D16" i="6" s="1"/>
  <c r="D5" i="7"/>
  <c r="F9" i="1"/>
  <c r="D9" i="6"/>
  <c r="C11" i="10"/>
  <c r="G47" i="10"/>
  <c r="F47" i="10"/>
  <c r="E47" i="10"/>
  <c r="D47" i="10"/>
  <c r="C47" i="10"/>
  <c r="E10" i="9"/>
  <c r="E7" i="9"/>
  <c r="F7" i="1"/>
  <c r="F7" i="9"/>
  <c r="D11" i="9"/>
  <c r="D11" i="6"/>
  <c r="C6" i="10" l="1"/>
  <c r="B12" i="11"/>
  <c r="B14" i="11" s="1"/>
  <c r="E7" i="6"/>
  <c r="D9" i="10"/>
  <c r="E10" i="7"/>
  <c r="E45" i="7"/>
  <c r="E10" i="6" s="1"/>
  <c r="F19" i="9"/>
  <c r="G6" i="9"/>
  <c r="F8" i="9"/>
  <c r="F11" i="9" s="1"/>
  <c r="F13" i="7"/>
  <c r="E10" i="1"/>
  <c r="F45" i="7"/>
  <c r="F10" i="6" s="1"/>
  <c r="F10" i="7"/>
  <c r="G7" i="1"/>
  <c r="H24" i="7"/>
  <c r="E9" i="6"/>
  <c r="E8" i="9"/>
  <c r="E11" i="9" s="1"/>
  <c r="E15" i="6"/>
  <c r="E16" i="6" s="1"/>
  <c r="D10" i="10"/>
  <c r="G8" i="1"/>
  <c r="F10" i="9"/>
  <c r="E5" i="7"/>
  <c r="D7" i="7"/>
  <c r="G9" i="1"/>
  <c r="G10" i="9"/>
  <c r="H9" i="1" l="1"/>
  <c r="E6" i="10"/>
  <c r="G7" i="6"/>
  <c r="F9" i="10"/>
  <c r="F10" i="1"/>
  <c r="F7" i="6"/>
  <c r="E9" i="10"/>
  <c r="F15" i="6"/>
  <c r="F16" i="6" s="1"/>
  <c r="E10" i="10"/>
  <c r="G19" i="9"/>
  <c r="H6" i="9"/>
  <c r="G8" i="9"/>
  <c r="G11" i="9" s="1"/>
  <c r="G13" i="7"/>
  <c r="E11" i="6"/>
  <c r="B17" i="11"/>
  <c r="B16" i="11"/>
  <c r="B20" i="11" s="1"/>
  <c r="B23" i="11" s="1"/>
  <c r="B26" i="11" s="1"/>
  <c r="B30" i="11" s="1"/>
  <c r="H7" i="1"/>
  <c r="F11" i="6"/>
  <c r="F9" i="6"/>
  <c r="E11" i="10"/>
  <c r="G9" i="9"/>
  <c r="D11" i="10"/>
  <c r="E7" i="7"/>
  <c r="F5" i="7"/>
  <c r="H8" i="1"/>
  <c r="D6" i="10"/>
  <c r="G7" i="9"/>
  <c r="C7" i="10"/>
  <c r="C8" i="10" s="1"/>
  <c r="G5" i="7" l="1"/>
  <c r="F7" i="7"/>
  <c r="G9" i="6"/>
  <c r="F6" i="10"/>
  <c r="H8" i="9"/>
  <c r="H13" i="7"/>
  <c r="H19" i="9"/>
  <c r="C13" i="10"/>
  <c r="C48" i="10" s="1"/>
  <c r="C49" i="10" s="1"/>
  <c r="G10" i="1"/>
  <c r="E7" i="10"/>
  <c r="E8" i="10" s="1"/>
  <c r="G15" i="6"/>
  <c r="G16" i="6" s="1"/>
  <c r="F10" i="10"/>
  <c r="H7" i="9"/>
  <c r="D7" i="10"/>
  <c r="D13" i="10" s="1"/>
  <c r="D48" i="10" s="1"/>
  <c r="D49" i="10" s="1"/>
  <c r="D8" i="10"/>
  <c r="H10" i="9"/>
  <c r="G10" i="7"/>
  <c r="G45" i="7"/>
  <c r="G10" i="6" s="1"/>
  <c r="H9" i="9"/>
  <c r="G11" i="6" l="1"/>
  <c r="E13" i="10"/>
  <c r="E48" i="10" s="1"/>
  <c r="E49" i="10" s="1"/>
  <c r="H10" i="1"/>
  <c r="H15" i="6"/>
  <c r="H16" i="6" s="1"/>
  <c r="G10" i="10"/>
  <c r="H7" i="6"/>
  <c r="G9" i="10"/>
  <c r="F7" i="10"/>
  <c r="G11" i="10"/>
  <c r="H9" i="6"/>
  <c r="H10" i="7"/>
  <c r="H45" i="7"/>
  <c r="H10" i="6" s="1"/>
  <c r="H11" i="9"/>
  <c r="F11" i="10"/>
  <c r="H5" i="7"/>
  <c r="H7" i="7" s="1"/>
  <c r="G7" i="7"/>
  <c r="H11" i="6" l="1"/>
  <c r="F8" i="10"/>
  <c r="F13" i="10" s="1"/>
  <c r="F48" i="10" s="1"/>
  <c r="F49" i="10" s="1"/>
  <c r="G6" i="10"/>
  <c r="G7" i="10" l="1"/>
  <c r="G8" i="10" l="1"/>
  <c r="G13" i="10" s="1"/>
  <c r="B38" i="10" l="1"/>
  <c r="B40" i="10" s="1"/>
  <c r="C51" i="10" s="1"/>
  <c r="G48" i="10"/>
  <c r="G49" i="10" s="1"/>
  <c r="C52" i="10" s="1"/>
  <c r="C53" i="10" l="1"/>
  <c r="C58" i="10" s="1"/>
  <c r="C61" i="10" s="1"/>
  <c r="C64" i="10" s="1"/>
  <c r="B29" i="11" l="1"/>
  <c r="C67" i="10"/>
  <c r="C69" i="10"/>
  <c r="D77" i="10"/>
  <c r="E5" i="8"/>
  <c r="F5" i="8"/>
  <c r="G5" i="8"/>
  <c r="H5" i="8"/>
  <c r="D6" i="8"/>
  <c r="E6" i="8"/>
  <c r="F6" i="8"/>
  <c r="G6" i="8"/>
  <c r="H6" i="8"/>
  <c r="D9" i="8"/>
  <c r="E9" i="8"/>
  <c r="F9" i="8"/>
  <c r="G9" i="8"/>
  <c r="H9" i="8"/>
  <c r="D12" i="8"/>
  <c r="E12" i="8"/>
  <c r="F12" i="8"/>
  <c r="G12" i="8"/>
  <c r="H12" i="8"/>
  <c r="D15" i="8"/>
  <c r="E15" i="8"/>
  <c r="F15" i="8"/>
  <c r="G15" i="8"/>
  <c r="H15" i="8"/>
  <c r="D16" i="8"/>
  <c r="E16" i="8"/>
  <c r="F16" i="8"/>
  <c r="G16" i="8"/>
  <c r="H16" i="8"/>
  <c r="D18" i="8"/>
  <c r="E18" i="8"/>
  <c r="F18" i="8"/>
  <c r="G18" i="8"/>
  <c r="H18" i="8"/>
  <c r="D14" i="7"/>
  <c r="E14" i="7"/>
  <c r="F14" i="7"/>
  <c r="G14" i="7"/>
  <c r="H14" i="7"/>
  <c r="D18" i="7"/>
  <c r="E18" i="7"/>
  <c r="F18" i="7"/>
  <c r="G18" i="7"/>
  <c r="H18" i="7"/>
  <c r="D20" i="7"/>
  <c r="E20" i="7"/>
  <c r="F20" i="7"/>
  <c r="G20" i="7"/>
  <c r="H20" i="7"/>
  <c r="D25" i="7"/>
  <c r="E25" i="7"/>
  <c r="F25" i="7"/>
  <c r="G25" i="7"/>
  <c r="H25" i="7"/>
  <c r="D27" i="7"/>
  <c r="E27" i="7"/>
  <c r="F27" i="7"/>
  <c r="G27" i="7"/>
  <c r="H27" i="7"/>
  <c r="D31" i="7"/>
  <c r="E31" i="7"/>
  <c r="F31" i="7"/>
  <c r="G31" i="7"/>
  <c r="H31" i="7"/>
  <c r="D38" i="7"/>
  <c r="E38" i="7"/>
  <c r="F38" i="7"/>
  <c r="G38" i="7"/>
  <c r="H38" i="7"/>
  <c r="D42" i="7"/>
  <c r="E42" i="7"/>
  <c r="F42" i="7"/>
  <c r="G42" i="7"/>
  <c r="H42" i="7"/>
  <c r="D49" i="7"/>
  <c r="E49" i="7"/>
  <c r="F49" i="7"/>
  <c r="G49" i="7"/>
  <c r="H49" i="7"/>
  <c r="D51" i="7"/>
  <c r="E51" i="7"/>
  <c r="F51" i="7"/>
  <c r="G51" i="7"/>
  <c r="H51" i="7"/>
  <c r="D52" i="7"/>
  <c r="E52" i="7"/>
  <c r="F52" i="7"/>
  <c r="G52" i="7"/>
  <c r="H52" i="7"/>
  <c r="D54" i="7"/>
  <c r="E54" i="7"/>
  <c r="F54" i="7"/>
  <c r="G54" i="7"/>
  <c r="H54" i="7"/>
  <c r="D6" i="6"/>
  <c r="E6" i="6"/>
  <c r="F6" i="6"/>
  <c r="G6" i="6"/>
  <c r="H6" i="6"/>
  <c r="D8" i="6"/>
  <c r="E8" i="6"/>
  <c r="F8" i="6"/>
  <c r="G8" i="6"/>
  <c r="H8" i="6"/>
  <c r="D12" i="6"/>
  <c r="E12" i="6"/>
  <c r="F12" i="6"/>
  <c r="G12" i="6"/>
  <c r="H12" i="6"/>
  <c r="D19" i="6"/>
  <c r="E19" i="6"/>
  <c r="F19" i="6"/>
  <c r="G19" i="6"/>
  <c r="H19" i="6"/>
  <c r="D20" i="6"/>
  <c r="E20" i="6"/>
  <c r="F20" i="6"/>
  <c r="G20" i="6"/>
  <c r="H20" i="6"/>
  <c r="D21" i="6"/>
  <c r="E21" i="6"/>
  <c r="F21" i="6"/>
  <c r="G21" i="6"/>
  <c r="H21" i="6"/>
  <c r="D22" i="6"/>
  <c r="E22" i="6"/>
  <c r="F22" i="6"/>
  <c r="G22" i="6"/>
  <c r="H22" i="6"/>
  <c r="D24" i="6"/>
  <c r="E24" i="6"/>
  <c r="F24" i="6"/>
  <c r="G24" i="6"/>
  <c r="H24" i="6"/>
  <c r="E25" i="6"/>
  <c r="F25" i="6"/>
  <c r="G25" i="6"/>
  <c r="H25" i="6"/>
  <c r="D26" i="6"/>
  <c r="E26" i="6"/>
  <c r="F26" i="6"/>
  <c r="G26" i="6"/>
  <c r="H26" i="6"/>
  <c r="D12" i="9"/>
  <c r="E12" i="9"/>
  <c r="F12" i="9"/>
  <c r="G12" i="9"/>
  <c r="H12" i="9"/>
  <c r="D14" i="9"/>
  <c r="E14" i="9"/>
  <c r="F14" i="9"/>
  <c r="G14" i="9"/>
  <c r="H14" i="9"/>
  <c r="D15" i="9"/>
  <c r="E15" i="9"/>
  <c r="F15" i="9"/>
  <c r="G15" i="9"/>
  <c r="H15" i="9"/>
  <c r="D16" i="9"/>
  <c r="E16" i="9"/>
  <c r="F16" i="9"/>
  <c r="G16" i="9"/>
  <c r="H16" i="9"/>
</calcChain>
</file>

<file path=xl/sharedStrings.xml><?xml version="1.0" encoding="utf-8"?>
<sst xmlns="http://schemas.openxmlformats.org/spreadsheetml/2006/main" count="871" uniqueCount="378">
  <si>
    <t>Reliance Industries Limited — Projection Assumptions</t>
  </si>
  <si>
    <t>Past Average derived from FY23-FY26 historicals; projection years reflect analyst-judgment trajectories.</t>
  </si>
  <si>
    <t>Assumption</t>
  </si>
  <si>
    <t>Past Average</t>
  </si>
  <si>
    <t>FY27E</t>
  </si>
  <si>
    <t>FY28E</t>
  </si>
  <si>
    <t>FY29E</t>
  </si>
  <si>
    <t>FY30E</t>
  </si>
  <si>
    <t>FY31E</t>
  </si>
  <si>
    <t>TERMINAL</t>
  </si>
  <si>
    <t>Revenue Growth %</t>
  </si>
  <si>
    <t>COGS % Revenue</t>
  </si>
  <si>
    <t>SG&amp;A % Revenue</t>
  </si>
  <si>
    <t>D&amp;A % Revenue</t>
  </si>
  <si>
    <t>Tax Rate</t>
  </si>
  <si>
    <t>DSO (Days Sales Outstanding)</t>
  </si>
  <si>
    <t>Inventory Days</t>
  </si>
  <si>
    <t>DPO (Days Payable Outstanding)</t>
  </si>
  <si>
    <t>Capex % Revenue</t>
  </si>
  <si>
    <t>Interest Rate on Debt</t>
  </si>
  <si>
    <t>Dividend Payout %</t>
  </si>
  <si>
    <t>Other NCA</t>
  </si>
  <si>
    <t>Loans%Revenue</t>
  </si>
  <si>
    <t>Investments%Revenue</t>
  </si>
  <si>
    <t>Other Fin Assets%Revenue</t>
  </si>
  <si>
    <t>Other Curr Assets%Revenue</t>
  </si>
  <si>
    <t>Non Controlling Interest</t>
  </si>
  <si>
    <t xml:space="preserve">    Lease Liabilities%Revenue</t>
  </si>
  <si>
    <t xml:space="preserve">    Deferred Payment Liabilities</t>
  </si>
  <si>
    <t xml:space="preserve">    Other Financial Liabilities</t>
  </si>
  <si>
    <t>Non Current Provisions</t>
  </si>
  <si>
    <t>Current Provisions</t>
  </si>
  <si>
    <t>Other Non-Current Liabilities</t>
  </si>
  <si>
    <t xml:space="preserve">    Lease Liabilities</t>
  </si>
  <si>
    <t>Other Current Liabilities</t>
  </si>
  <si>
    <t>Notes:</t>
  </si>
  <si>
    <t>• COGS = Cost of Materials Consumed + Purchase of Stock-in-Trade + Changes in Inventories + Excise Duty (rows 15-18 of P&amp;L)</t>
  </si>
  <si>
    <t>• SG&amp;A = Employee Benefits Expense + Other Expenses (rows 19, 22 of P&amp;L) — Finance Costs and D&amp;A excluded, modeled separately</t>
  </si>
  <si>
    <t>• Interest Rate on Debt uses average of opening + closing total borrowings (Non-Current + Current) per year; FY23 excluded (no FY22 balance available)</t>
  </si>
  <si>
    <t>• Dividend Payout % uses FY24-FY26 only (FY23 Cash Flow Statement has a known reconciliation gap — see Cash Flow Statement sheet note)</t>
  </si>
  <si>
    <t>• Projection columns (FY27E onward) taper toward long-run assumptions, anchored to historical averages.</t>
  </si>
  <si>
    <t>Reliance Industries Limited — Consolidated Balance Sheet</t>
  </si>
  <si>
    <t>As at 31st March, 2026  (₹ in crore)</t>
  </si>
  <si>
    <t>Particulars</t>
  </si>
  <si>
    <t>Note</t>
  </si>
  <si>
    <t>31-Mar-2026</t>
  </si>
  <si>
    <t>31-Mar-2025</t>
  </si>
  <si>
    <t>31-Mar-2024</t>
  </si>
  <si>
    <t>31-Mar-2023</t>
  </si>
  <si>
    <t>Growth Rates</t>
  </si>
  <si>
    <t>Percentage of Revenue</t>
  </si>
  <si>
    <t>ASSETS</t>
  </si>
  <si>
    <t>Non-Current Assets</t>
  </si>
  <si>
    <t>Property, Plant and Equipment</t>
  </si>
  <si>
    <t>Spectrum</t>
  </si>
  <si>
    <t>Other Intangible Assets</t>
  </si>
  <si>
    <t>Goodwill</t>
  </si>
  <si>
    <t>Capital Work-in-Progress</t>
  </si>
  <si>
    <t>Spectrum Under Development</t>
  </si>
  <si>
    <t>Other Intangible Assets Under Development</t>
  </si>
  <si>
    <t>Financial Assets</t>
  </si>
  <si>
    <t xml:space="preserve">    Investments</t>
  </si>
  <si>
    <t xml:space="preserve">    Loans</t>
  </si>
  <si>
    <t xml:space="preserve">    Other Financial Assets</t>
  </si>
  <si>
    <t xml:space="preserve">    Deferred Tax Assets (Net)</t>
  </si>
  <si>
    <t xml:space="preserve">    Other Non-Current Assets</t>
  </si>
  <si>
    <t>Total Non-Current Assets</t>
  </si>
  <si>
    <t>Current Assets</t>
  </si>
  <si>
    <t>Inventories</t>
  </si>
  <si>
    <t xml:space="preserve">    Trade Receivables</t>
  </si>
  <si>
    <t xml:space="preserve">    Cash and Cash Equivalents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</si>
  <si>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</si>
  <si>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</si>
  <si>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</si>
  <si>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</si>
  <si>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</si>
  <si>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</si>
  <si>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</si>
  <si>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Non-Controlling Interest</t>
  </si>
  <si>
    <t>Total Equity</t>
  </si>
  <si>
    <t>Non-Current Liabilities</t>
  </si>
  <si>
    <t>Financial Liabilities</t>
  </si>
  <si>
    <t xml:space="preserve">    Borrowings</t>
  </si>
  <si>
    <t>Provisions</t>
  </si>
  <si>
    <t>Deferred Tax Liabilities (Net)</t>
  </si>
  <si>
    <t>Total Non-Current Liabilities</t>
  </si>
  <si>
    <t>Current Liabilities</t>
  </si>
  <si>
    <t xml:space="preserve">    Trade Payables</t>
  </si>
  <si>
    <t>Total Current Liabilities</t>
  </si>
  <si>
    <t>Total Liabilities</t>
  </si>
  <si>
    <t>TOTAL EQUITY AND LIABILITIES</t>
  </si>
  <si>
    <t>Balance Check (Assets - Equity &amp; Liabilities)</t>
  </si>
  <si>
    <t>Source: RIL Integrated Annual Report 2025-26, Consolidated Balance Sheet, pp.196-197 (31-Mar-2026 &amp; 31-Mar-2025); RIL Integrated Annual Report 2024-25, Consolidated Balance Sheet, pp.194-195 (31-Mar-2024)</t>
  </si>
  <si>
    <t>Cross-Check: Cash (BS) vs Closing Cash (CFS)</t>
  </si>
  <si>
    <t>Reliance Industries Limited — Consolidated Statement of Profit and Loss</t>
  </si>
  <si>
    <t>For the year ended 31st March, 2026  (₹ in crore)</t>
  </si>
  <si>
    <t>2025-26</t>
  </si>
  <si>
    <t>2024-25</t>
  </si>
  <si>
    <t>2023-24</t>
  </si>
  <si>
    <t>2022-23</t>
  </si>
  <si>
    <t>Income</t>
  </si>
  <si>
    <t>Value of Sales</t>
  </si>
  <si>
    <t>Income from Services</t>
  </si>
  <si>
    <t>Value of Sales &amp; Services (Revenue)</t>
  </si>
  <si>
    <t>Less: GST Recovered</t>
  </si>
  <si>
    <t>Revenue from Operations</t>
  </si>
  <si>
    <t>Other Income</t>
  </si>
  <si>
    <t>Total Income</t>
  </si>
  <si>
    <t>Expenses</t>
  </si>
  <si>
    <t>Cost of Materials Consumed</t>
  </si>
  <si>
    <t>Purchase of Stock-in-Trade</t>
  </si>
  <si>
    <t>Changes in Inventories of Finished Goods, WIP and Stock-in-Trade</t>
  </si>
  <si>
    <t>Excise Duty</t>
  </si>
  <si>
    <t>Employee Benefits Expense</t>
  </si>
  <si>
    <t>Finance Costs</t>
  </si>
  <si>
    <t>Depreciation / Amortisation and Depletion Expense</t>
  </si>
  <si>
    <t>Other Expenses</t>
  </si>
  <si>
    <t>Total Expenses</t>
  </si>
  <si>
    <t>Profit Before Share of Profit/(Loss) of Associates/JVs and Tax</t>
  </si>
  <si>
    <t>Tax Expenses</t>
  </si>
  <si>
    <t>Current Tax</t>
  </si>
  <si>
    <t>Deferred Tax</t>
  </si>
  <si>
    <t>Profit After Tax</t>
  </si>
  <si>
    <t>Share of Profit/(Loss) of Associate and Joint Ventures</t>
  </si>
  <si>
    <t>Profit for the year</t>
  </si>
  <si>
    <t>Other Comprehensive Income</t>
  </si>
  <si>
    <t>Items that will not be reclassified to Profit or Loss</t>
  </si>
  <si>
    <t>26.1</t>
  </si>
  <si>
    <t>Income Tax relating to items that will not be reclassified</t>
  </si>
  <si>
    <t>Items that will be reclassified to Profit or Loss</t>
  </si>
  <si>
    <t>26.2</t>
  </si>
  <si>
    <t>Income Tax relating to items that will be reclassified</t>
  </si>
  <si>
    <t>Total Other Comprehensive Income/(Loss) for the Year (Net of Tax)</t>
  </si>
  <si>
    <t>Total Comprehensive Income for the Year</t>
  </si>
  <si>
    <t>Net Profit Attributable to:</t>
  </si>
  <si>
    <t xml:space="preserve">    Owners of the Company</t>
  </si>
  <si>
    <t xml:space="preserve">    Non-Controlling Interest</t>
  </si>
  <si>
    <t>Other Comprehensive Income Attributable to:</t>
  </si>
  <si>
    <t>Total Comprehensive Income Attributable to:</t>
  </si>
  <si>
    <t>Earnings Per Equity Share of Face Value of ₹10 each</t>
  </si>
  <si>
    <t>Basic (in ₹)</t>
  </si>
  <si>
    <t>Diluted (in ₹)</t>
  </si>
  <si>
    <t>Source: RIL Integrated Annual Report 2025-26, Consolidated Statement of Profit and Loss, pp.198-199 (2025-26 &amp; 2024-25); RIL Integrated Annual Report 2024-25, Consolidated Statement of Profit and Loss, pp.196-197 (2023-24)</t>
  </si>
  <si>
    <t>Reliance Industries Limited — Consolidated Statement of Changes in Equity</t>
  </si>
  <si>
    <t>Balance as at
1-Apr-2025</t>
  </si>
  <si>
    <t>Total
Comprehensive
Income</t>
  </si>
  <si>
    <t>Dividend</t>
  </si>
  <si>
    <t>Transfer (to)/
from Retained
Earnings</t>
  </si>
  <si>
    <t>Transfer (to)/
from General
Reserve</t>
  </si>
  <si>
    <t>On Rights
Issue</t>
  </si>
  <si>
    <t>On Employee
Stock Options</t>
  </si>
  <si>
    <t>Issue of
Bonus Shares</t>
  </si>
  <si>
    <t>Others</t>
  </si>
  <si>
    <t>Balance as at
31-Mar-2026</t>
  </si>
  <si>
    <t>A. Equity Share Capital</t>
  </si>
  <si>
    <t>-</t>
  </si>
  <si>
    <t>B. Other Equity — Reserves and Surplus</t>
  </si>
  <si>
    <t>Capital Reserve</t>
  </si>
  <si>
    <t>Capital Redemption Reserve</t>
  </si>
  <si>
    <t>Debenture Redemption Reserve</t>
  </si>
  <si>
    <t>Share Based Payments Reserve</t>
  </si>
  <si>
    <t>Statutory Reserve</t>
  </si>
  <si>
    <t>Securities Premium</t>
  </si>
  <si>
    <t>General Reserve</t>
  </si>
  <si>
    <t>Retained Earnings</t>
  </si>
  <si>
    <t>Remeasurement of Defined Benefit Plan</t>
  </si>
  <si>
    <t>Equity Instruments through OCI</t>
  </si>
  <si>
    <t>Debt Instruments through OCI</t>
  </si>
  <si>
    <t>Cash Flow Hedge</t>
  </si>
  <si>
    <t>Foreign Currency Translation Reserve</t>
  </si>
  <si>
    <t>Total</t>
  </si>
  <si>
    <t>Note: Equity Share Capital — opening balance 1-Apr-2024 was ₹6,766 crore; rose to ₹13,532 crore by 31-Mar-2025 (bonus issue) and remained unchanged through 31-Mar-2026.</t>
  </si>
  <si>
    <t>Includes impact of change in non-controlling interest / acquisition, disposal &amp; change in non-controlling interest where noted in source.</t>
  </si>
  <si>
    <t>Source: RIL Integrated Annual Report 2025-26, Consolidated Statement of Changes in Equity, pp.200-201</t>
  </si>
  <si>
    <t>FY 2024-25 Movement (For the year ended 31st March, 2025)</t>
  </si>
  <si>
    <t>Balance as at
1-Apr-2024</t>
  </si>
  <si>
    <t>Balance as at
31-Mar-2025</t>
  </si>
  <si>
    <t>Source: RIL Integrated Annual Report 2024-25, Consolidated Statement of Changes in Equity, pp.198-199</t>
  </si>
  <si>
    <t>FY 2023-24 Movement (For the year ended 31st March, 2024)</t>
  </si>
  <si>
    <t>Balance as at
1-Apr-2023</t>
  </si>
  <si>
    <t>Balance as at
31-Mar-2024</t>
  </si>
  <si>
    <t>Other Comprehensive Income (combined, per FY23-24 disclosure)</t>
  </si>
  <si>
    <t>Reliance Industries Limited — Consolidated Statement of Cash Flows</t>
  </si>
  <si>
    <t>A. Cash Flow from Operating Activities</t>
  </si>
  <si>
    <t>Net Profit Before Share of Profit/(Loss) of Associates/JVs and Tax</t>
  </si>
  <si>
    <t>Adjusted for:</t>
  </si>
  <si>
    <t xml:space="preserve">    Loss on Sale/Discard of PP&amp;E and Other Intangible Assets (Net)</t>
  </si>
  <si>
    <t xml:space="preserve">    Depreciation / Amortisation and Depletion Expense</t>
  </si>
  <si>
    <t xml:space="preserve">    Effect of Exchange Rate Change</t>
  </si>
  <si>
    <t xml:space="preserve">    Net Gain on Financial Assets</t>
  </si>
  <si>
    <t xml:space="preserve">    Dividend Income</t>
  </si>
  <si>
    <t xml:space="preserve">    Interest Income</t>
  </si>
  <si>
    <t xml:space="preserve">    Finance Costs</t>
  </si>
  <si>
    <t>Sub-Total</t>
  </si>
  <si>
    <t>Operating Profit before Working Capital Changes</t>
  </si>
  <si>
    <t xml:space="preserve">    Trade and Other Receivables</t>
  </si>
  <si>
    <t xml:space="preserve">    Inventories</t>
  </si>
  <si>
    <t xml:space="preserve">    Trade and Other Payables</t>
  </si>
  <si>
    <t>Cash Generated from Operations</t>
  </si>
  <si>
    <t>Taxes Paid (Net)</t>
  </si>
  <si>
    <t>Net Cash Flow from Operating Activities *</t>
  </si>
  <si>
    <t>B. Cash Flow from Investing Activities</t>
  </si>
  <si>
    <t>Expenditure for PP&amp;E, Spectrum and Other Intangible Assets</t>
  </si>
  <si>
    <t>Proceeds from disposal of PP&amp;E and Other Intangible Assets</t>
  </si>
  <si>
    <t>Purchase of Investments</t>
  </si>
  <si>
    <t>Proceeds from Sale of Financial Assets</t>
  </si>
  <si>
    <t>Payment of Deferred Payment Liabilities</t>
  </si>
  <si>
    <t>Interest Income</t>
  </si>
  <si>
    <t>Dividend Income from Associates</t>
  </si>
  <si>
    <t>Dividend Income from Others</t>
  </si>
  <si>
    <t>Net Cash Used in Investing Activities</t>
  </si>
  <si>
    <t>C. Cash Flow from Financing Activities</t>
  </si>
  <si>
    <t>Proceeds from Issue of Share Capital to Non-Controlling Interest (Net of Dividend Paid)</t>
  </si>
  <si>
    <t>Proceeds from Issue of Equity Share Capital @</t>
  </si>
  <si>
    <t>Net Proceeds from Rights Issue</t>
  </si>
  <si>
    <t>Payments to Non-Controlling Interest Shareholders towards Capital Reduction</t>
  </si>
  <si>
    <t>Payment of Lease Liabilities</t>
  </si>
  <si>
    <t>Proceeds from Borrowings - Non-current (incl. Current Maturities)</t>
  </si>
  <si>
    <t>Repayment of Borrowings - Non-current (incl. Current Maturities)</t>
  </si>
  <si>
    <t>Borrowings - Current (Net)</t>
  </si>
  <si>
    <t>Payment of Dividend to Equity Holders of the Company</t>
  </si>
  <si>
    <t>Payment of Dividend to Non-Controlling Interest</t>
  </si>
  <si>
    <t>Interest Paid</t>
  </si>
  <si>
    <t>Net Cash Flow from/(used in) Financing Activities</t>
  </si>
  <si>
    <t>Net Increase in Cash and Cash Equivalents</t>
  </si>
  <si>
    <t>Opening Balance of Cash and Cash Equivalents</t>
  </si>
  <si>
    <t>Closing Balance of Cash and Cash Equivalents</t>
  </si>
  <si>
    <t>* Includes amount spent towards CSR of ₹2,248 crore in FY26 (₹2,156 crore FY25; ₹1,592 crore FY24).</t>
  </si>
  <si>
    <t>@ ₹9,97,360 actual rupees in FY26 (₹22,00,000 actual rupees FY25; ₹1,50,000 actual rupees FY24) — face value, not in crore.</t>
  </si>
  <si>
    <t>Change in Liability Arising from Financing Activities — FY 2025-26</t>
  </si>
  <si>
    <t>1-Apr-2025</t>
  </si>
  <si>
    <t>Cash Flow</t>
  </si>
  <si>
    <t>FX Movement /
Others</t>
  </si>
  <si>
    <t>Borrowings - Non-current (incl. Current Maturities)</t>
  </si>
  <si>
    <t>Borrowings - Current</t>
  </si>
  <si>
    <t>Change in Liability Arising from Financing Activities — FY 2024-25</t>
  </si>
  <si>
    <t>1-Apr-2024</t>
  </si>
  <si>
    <t>Change in Liability Arising from Financing Activities — FY 2023-24</t>
  </si>
  <si>
    <t>1-Apr-2023</t>
  </si>
  <si>
    <t>Change in Liability Arising from Financing Activities — FY 2022-23</t>
  </si>
  <si>
    <t>1-Apr-2022</t>
  </si>
  <si>
    <t>Cash Flow from Supplier Financing Arrangement (Refer Note 44)</t>
  </si>
  <si>
    <t>Presented in Trade and Other Payables</t>
  </si>
  <si>
    <t>Presented in Other Financial Liability</t>
  </si>
  <si>
    <t>Source: RIL Integrated Annual Report 2025-26, Consolidated Statement of Cash Flows, pp.202-203 (2025-26 &amp; 2024-25 figures, FY26 &amp; FY25 sub-schedules); RIL Integrated Annual Report 2024-25, Consolidated Statement of Cash Flows, pp.200-201 (2023-24 figures, FY24 sub-schedule)</t>
  </si>
  <si>
    <t>Source: RIL Integrated Annual Report 2023-24, Consolidated Statement of Cash Flows, pp.222-223 (2022-23 figures)</t>
  </si>
  <si>
    <t>Note on FY 2022-23 column: Figures marked "Other than Financial Services Segment" in the source (restated for FY23 demerger) — column does not fully reconcile to reported closing cash (~₹3,558 cr gap). Use FY23 Balance Sheet and P&amp;L data (verified, clean) for Assumptions tab; treat FY23 CFS figures as indicative only.</t>
  </si>
  <si>
    <t>Reliance Industries Limited — Projected Cash Flow Statement</t>
  </si>
  <si>
    <t>FY26A</t>
  </si>
  <si>
    <t>Net Profit</t>
  </si>
  <si>
    <t>Add: Depreciation/Amortisation</t>
  </si>
  <si>
    <t>Add: Interest Expense (added back, shown in Financing)</t>
  </si>
  <si>
    <t>Less: Increase in Trade Receivables</t>
  </si>
  <si>
    <t>Add: Increase in Trade Payables</t>
  </si>
  <si>
    <t>Less: Increase in Inventories</t>
  </si>
  <si>
    <t>Net Cash from Operating Activities</t>
  </si>
  <si>
    <t>Less: Capex</t>
  </si>
  <si>
    <t>Net Cash used in Investing Activities</t>
  </si>
  <si>
    <t>Less: Interest Paid</t>
  </si>
  <si>
    <t>Less: Dividends Paid</t>
  </si>
  <si>
    <t>Net Borrowing/(Repayment)</t>
  </si>
  <si>
    <t>Net Cash from Financing Activities</t>
  </si>
  <si>
    <t>Net Change in Cash</t>
  </si>
  <si>
    <t>Opening Cash Balance</t>
  </si>
  <si>
    <t>Closing Cash Balance</t>
  </si>
  <si>
    <t>Note: This is a simplified CFS (Net Profit, D&amp;A, Interest, Working Capital, Capex, Dividends, Net Borrowing only). It will NOT tie exactly to the actual reported FY26 cash flow, which includes Other Income components, Investment purchases/sales, and other items not modeled here. This is standard for a projection-driven 3-statement model.</t>
  </si>
  <si>
    <t>NON CURRENT ASSETS</t>
  </si>
  <si>
    <t>PP&amp;E, and Other Capex Items</t>
  </si>
  <si>
    <t>Other Non Current Assets</t>
  </si>
  <si>
    <t>Total Non Current Assets</t>
  </si>
  <si>
    <t>CURRENT ASSETS</t>
  </si>
  <si>
    <t>Balance Check (Assets − Equity &amp; Liabilities)</t>
  </si>
  <si>
    <t>Reliance Industries Limited — Debt Schedule</t>
  </si>
  <si>
    <t>Opening Total Debt (Non-Current + Current Borrowings)</t>
  </si>
  <si>
    <t>Add: Cash Flow Surplus/(Deficit) Before Financing</t>
  </si>
  <si>
    <t>Note: Cash available before financing = Operating CF + Investing CF + interest and dividends paid.</t>
  </si>
  <si>
    <t>Net Borrowing / (Repayment) for the year</t>
  </si>
  <si>
    <t>Note: Net borrowing follows a 50% cash sweep — half of any surplus repays debt, with debt floored at zero.</t>
  </si>
  <si>
    <t>Closing Total Debt</t>
  </si>
  <si>
    <t>Memo: Closing Debt Split</t>
  </si>
  <si>
    <t xml:space="preserve">    Non-Current Borrowings (held at FY26A mix %)</t>
  </si>
  <si>
    <t xml:space="preserve">    Current Borrowings (held at FY26A mix %)</t>
  </si>
  <si>
    <t>Interest Expense Check (Closing Debt × Interest Rate)</t>
  </si>
  <si>
    <t>Less: COGS</t>
  </si>
  <si>
    <t>Gross Profit</t>
  </si>
  <si>
    <t>Less: SG&amp;A</t>
  </si>
  <si>
    <t>Less:D&amp;A</t>
  </si>
  <si>
    <t>EBIT</t>
  </si>
  <si>
    <t>Less: Finance Costs</t>
  </si>
  <si>
    <t>Add:Other Income</t>
  </si>
  <si>
    <t>Profit Before Tax</t>
  </si>
  <si>
    <t>Less: Tax</t>
  </si>
  <si>
    <t>Capex</t>
  </si>
  <si>
    <t>Reliance Industries Limited — DCF Valuation</t>
  </si>
  <si>
    <t>(₹ in crore unless stated) — built on Projected IS / BS, FY27E-FY31E explicit period</t>
  </si>
  <si>
    <t>SECTION 1: Unlevered Free Cash Flow</t>
  </si>
  <si>
    <t>Less: Tax on EBIT (EBIT x Tax Rate)</t>
  </si>
  <si>
    <t>EBIT x (1 - Tax Rate)  [NOPAT]</t>
  </si>
  <si>
    <t>Add: D&amp;A</t>
  </si>
  <si>
    <t>Less: Increase in Net Working Capital</t>
  </si>
  <si>
    <t>Note: Net Working Capital = Receivables + Inventory − Payables; the change year-over-year is deducted.</t>
  </si>
  <si>
    <t>Unlevered Free Cash Flow (FCFF)</t>
  </si>
  <si>
    <t>SECTION 2: WACC Calculation</t>
  </si>
  <si>
    <t>Risk-Free Rate (Rf) — India 10Y G-Sec</t>
  </si>
  <si>
    <t>[Source: India 10Y G-Sec, ~6.85%, mid-June 2026]</t>
  </si>
  <si>
    <t>Beta — RIL</t>
  </si>
  <si>
    <t>[Source: RIL stock beta, recent]</t>
  </si>
  <si>
    <t>Equity Risk Premium (ERP) — India</t>
  </si>
  <si>
    <t>[Standard India ERP estimate, ~6-7%]</t>
  </si>
  <si>
    <t>Cost of Equity = Rf + Beta x ERP</t>
  </si>
  <si>
    <t>Interest Rate on Debt (from Assumptions)</t>
  </si>
  <si>
    <t>Tax Rate (from Assumptions)</t>
  </si>
  <si>
    <t>Cost of Debt (post-tax) = Interest Rate x (1 - Tax Rate)</t>
  </si>
  <si>
    <t>Market Cap (Equity Value)</t>
  </si>
  <si>
    <t>[Source: RIL market cap, ~23 June 2026]</t>
  </si>
  <si>
    <t>Total Debt (Book Value, FY26A)</t>
  </si>
  <si>
    <t>Total Capital (Market Cap + Debt)</t>
  </si>
  <si>
    <t>Equity Weight</t>
  </si>
  <si>
    <t>Debt Weight</t>
  </si>
  <si>
    <t>WACC = (Equity Weight x Cost of Equity) + (Debt Weight x Cost of Debt)</t>
  </si>
  <si>
    <t>SECTION 3: Terminal Value</t>
  </si>
  <si>
    <t>FY31E Unlevered FCF</t>
  </si>
  <si>
    <t>Terminal Growth Rate (from Assumptions)</t>
  </si>
  <si>
    <t>Terminal Value = FY31E FCF x (1+g) / (WACC - g)</t>
  </si>
  <si>
    <t>Note: Terminal value requires WACC &gt; terminal growth rate; here 11.7% vs 4.5%.</t>
  </si>
  <si>
    <t>SECTION 4: Discounting to Present Value</t>
  </si>
  <si>
    <t>Year Number (n)</t>
  </si>
  <si>
    <t>Discount Factor = 1/(1+WACC)^n</t>
  </si>
  <si>
    <t>Unlevered FCF (from Section 1)</t>
  </si>
  <si>
    <t>PV of FCF</t>
  </si>
  <si>
    <t>PV of Terminal Value (discount at FY31E factor)</t>
  </si>
  <si>
    <t>Sum of PV of Explicit FCF (FY27E-FY31E)</t>
  </si>
  <si>
    <t>Enterprise Value = Sum of PV of FCF + PV of Terminal Value</t>
  </si>
  <si>
    <t>SECTION 5: Equity Value &amp; Implied Share Price</t>
  </si>
  <si>
    <t>Enterprise Value (from Section 4)</t>
  </si>
  <si>
    <t>Less: Total Debt (FY26A)</t>
  </si>
  <si>
    <t>Add: Cash and Cash Equivalents (FY26A)</t>
  </si>
  <si>
    <t>Implied Equity Value</t>
  </si>
  <si>
    <t>Shares Outstanding (crore)</t>
  </si>
  <si>
    <t>Implied Share Price (Rs)</t>
  </si>
  <si>
    <t>Current Market Price (Rs, for reference)</t>
  </si>
  <si>
    <t>[Source: NSE closing price, 31 March 2026 — matches FY26A balance sheet date]</t>
  </si>
  <si>
    <t>Implied Upside/(Downside) %</t>
  </si>
  <si>
    <t>Memo: Market Price, 23 June 2026 (for reference — reflects post-balance-sheet-date information)</t>
  </si>
  <si>
    <t>[NSE closing price, ~23 June 2026]</t>
  </si>
  <si>
    <t>Implied Upside/(Downside) % vs 23 Jun 2026 price</t>
  </si>
  <si>
    <t>SECTION 6: Sensitivity Table — Implied Share Price (WACC vs Terminal Growth)</t>
  </si>
  <si>
    <t>GROWTH RATES</t>
  </si>
  <si>
    <t>WACC</t>
  </si>
  <si>
    <t>Reliance Industries Limited — Comparable Company Analysis (EV/EBITDA)</t>
  </si>
  <si>
    <t>Cross-check against DCF — note: RIL is a diversified conglomerate (O2C, Retail, Telecom), so a single blended peer multiple is an approximation, not a precise read</t>
  </si>
  <si>
    <t>Company</t>
  </si>
  <si>
    <t>Segment Relevance</t>
  </si>
  <si>
    <t>EV/EBITDA</t>
  </si>
  <si>
    <t>Source</t>
  </si>
  <si>
    <t>ONGC</t>
  </si>
  <si>
    <t>Oil &amp; Gas / E&amp;P (O2C proxy)</t>
  </si>
  <si>
    <t>GuruFocus / Screener, ~Jun 2026</t>
  </si>
  <si>
    <t>Bharti Airtel</t>
  </si>
  <si>
    <t>Telecom (Jio proxy)</t>
  </si>
  <si>
    <t>Screener / Finbox, ~Jun 2026</t>
  </si>
  <si>
    <t>RIL (own current multiple)</t>
  </si>
  <si>
    <t>Reference — RIL's actual trading multiple</t>
  </si>
  <si>
    <t>GuruFocus, TTM Sep-25 EV/EBITDA</t>
  </si>
  <si>
    <t>Peer Average EV/EBITDA (ONGC + Bharti Airtel, excl. RIL self-reference)</t>
  </si>
  <si>
    <t>Applied to RIL FY27E EBITDA</t>
  </si>
  <si>
    <t>FY27E EBIT (from Projected P&amp;L)</t>
  </si>
  <si>
    <t>FY27E D&amp;A (from Projected P&amp;L)</t>
  </si>
  <si>
    <t>FY27E EBITDA = EBIT + D&amp;A</t>
  </si>
  <si>
    <t>Implied EV (Peer Avg Multiple x FY27E EBITDA)</t>
  </si>
  <si>
    <t>Implied EV (RIL Own Multiple x FY27E EBITDA) — sanity reference</t>
  </si>
  <si>
    <t>Bridge to Equity Value (using Peer Average multiple)</t>
  </si>
  <si>
    <t>Implied EV</t>
  </si>
  <si>
    <t>Implied Share Price via Comps (Rs)</t>
  </si>
  <si>
    <t>Cross-Check Summary</t>
  </si>
  <si>
    <t>DCF Implied Price</t>
  </si>
  <si>
    <t>Comps Implied Price (Peer Avg)</t>
  </si>
  <si>
    <t>Current Market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</si>
</sst>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;\(0.0%\);\-"/>
    <numFmt numFmtId="165" formatCode="#,##0.0;\(#,##0.0\);\-"/>
    <numFmt numFmtId="166" formatCode="#,##0;\(#,##0\);\-"/>
    <numFmt numFmtId="167" formatCode="0.0%"/>
    <numFmt numFmtId="168" formatCode="_ * #,##0_ ;_ * \-#,##0_ ;_ * \-??_ ;_ @_ "/>
    <numFmt numFmtId="169" formatCode="0.0\x"/>
  </numFmts>
  <fonts count="35" x14ac:knownFonts="1">
    <font>
      <sz val="11"/>
      <color theme="1"/>
      <name val="Calibri"/>
      <family val="2"/>
      <charset val="1"/>
    </font>
    <font>
      <sz val="10"/>
      <name val="Arial"/>
    </font>
    <font>
      <b/>
      <sz val="14"/>
      <name val="Calibri"/>
      <charset val="1"/>
    </font>
    <font>
      <i/>
      <sz val="9"/>
      <color rgb="FF555555"/>
      <name val="Calibri"/>
      <charset val="1"/>
    </font>
    <font>
      <b/>
      <sz val="10"/>
      <color rgb="FFFFFFFF"/>
      <name val="Calibri"/>
      <charset val="1"/>
    </font>
    <font>
      <sz val="11"/>
      <color rgb="FF000000"/>
      <name val="Calibri"/>
      <charset val="1"/>
    </font>
    <font>
      <sz val="10"/>
      <color rgb="FF000000"/>
      <name val="Calibri"/>
      <charset val="1"/>
    </font>
    <font>
      <sz val="10"/>
      <name val="Arial"/>
      <charset val="1"/>
    </font>
    <font>
      <i/>
      <sz val="8"/>
      <color rgb="FF888888"/>
      <name val="Calibri"/>
      <charset val="1"/>
    </font>
    <font>
      <b/>
      <sz val="11"/>
      <color rgb="FF1F3864"/>
      <name val="Calibri"/>
      <charset val="1"/>
    </font>
    <font>
      <b/>
      <sz val="11"/>
      <color rgb="FF000000"/>
      <name val="Calibri"/>
      <charset val="1"/>
    </font>
    <font>
      <sz val="11"/>
      <color rgb="FF0000FF"/>
      <name val="Calibri"/>
      <charset val="1"/>
    </font>
    <font>
      <b/>
      <sz val="10"/>
      <color rgb="FF000000"/>
      <name val="Calibri"/>
      <charset val="1"/>
    </font>
    <font>
      <sz val="10"/>
      <color rgb="FF808080"/>
      <name val="Calibri"/>
      <charset val="1"/>
    </font>
    <font>
      <sz val="11"/>
      <color rgb="FF1F3864"/>
      <name val="Calibri"/>
      <charset val="1"/>
    </font>
    <font>
      <sz val="10"/>
      <color rgb="FFFFFFFF"/>
      <name val="Calibri"/>
      <charset val="1"/>
    </font>
    <font>
      <sz val="11"/>
      <color rgb="FF008000"/>
      <name val="Calibri"/>
      <charset val="1"/>
    </font>
    <font>
      <sz val="11"/>
      <color rgb="FFFFFFFF"/>
      <name val="Calibri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1"/>
      <color rgb="FF0000FF"/>
      <name val="Calibri"/>
      <charset val="1"/>
    </font>
    <font>
      <b/>
      <sz val="13"/>
      <name val="Cambria"/>
      <charset val="1"/>
    </font>
    <font>
      <sz val="10"/>
      <color rgb="FF00B050"/>
      <name val="Calibri"/>
      <charset val="1"/>
    </font>
    <font>
      <b/>
      <sz val="10"/>
      <color rgb="FF00B050"/>
      <name val="Calibri"/>
      <charset val="1"/>
    </font>
    <font>
      <b/>
      <sz val="11"/>
      <color rgb="FF008000"/>
      <name val="Calibri"/>
      <charset val="1"/>
    </font>
    <font>
      <b/>
      <i/>
      <sz val="11"/>
      <color rgb="FFC55A11"/>
      <name val="Calibri"/>
      <charset val="1"/>
    </font>
    <font>
      <b/>
      <sz val="11"/>
      <color rgb="FFFFFFFF"/>
      <name val="Cambria"/>
      <charset val="1"/>
    </font>
    <font>
      <i/>
      <sz val="11"/>
      <color rgb="FFC55A11"/>
      <name val="Calibri"/>
      <charset val="1"/>
    </font>
    <font>
      <b/>
      <sz val="11"/>
      <name val="Cambria"/>
      <charset val="1"/>
    </font>
    <font>
      <i/>
      <sz val="11"/>
      <color rgb="FFC55A11"/>
      <name val="Cambria"/>
      <charset val="1"/>
    </font>
    <font>
      <sz val="11"/>
      <color rgb="FF0000FF"/>
      <name val="Cambria"/>
      <charset val="1"/>
    </font>
    <font>
      <sz val="11"/>
      <color rgb="FF000000"/>
      <name val="Cambria"/>
      <charset val="1"/>
    </font>
    <font>
      <sz val="11"/>
      <color rgb="FF008000"/>
      <name val="Cambria"/>
      <charset val="1"/>
    </font>
    <font>
      <sz val="18"/>
      <color rgb="FF000000"/>
      <name val="Calibri"/>
      <charset val="1"/>
    </font>
    <font>
      <sz val="24"/>
      <color rgb="FF00000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1F2937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FFF"/>
      </patternFill>
    </fill>
    <fill>
      <patternFill patternType="solid">
        <fgColor rgb="FFE8F0FE"/>
        <bgColor rgb="FFF8F9FA"/>
      </patternFill>
    </fill>
    <fill>
      <patternFill patternType="solid">
        <fgColor rgb="FFD6E4F7"/>
        <bgColor rgb="FFD9E2F3"/>
      </patternFill>
    </fill>
    <fill>
      <patternFill patternType="solid">
        <fgColor rgb="FFD9E2F3"/>
        <bgColor rgb="FFD6E4F7"/>
      </patternFill>
    </fill>
    <fill>
      <patternFill patternType="solid">
        <fgColor rgb="FF1F2937"/>
        <bgColor rgb="FF1F38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hair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808080"/>
      </top>
      <bottom style="medium">
        <color rgb="FF808080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9" fontId="1" fillId="0" borderId="0" applyBorder="0" applyAlignment="0" applyProtection="0"/>
  </cellStyleXfs>
  <cellXfs count="11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9" fillId="6" borderId="5" xfId="0" applyFont="1" applyFill="1" applyBorder="1"/>
    <xf numFmtId="0" fontId="14" fillId="3" borderId="2" xfId="0" applyFont="1" applyFill="1" applyBorder="1"/>
    <xf numFmtId="0" fontId="14" fillId="4" borderId="2" xfId="0" applyFont="1" applyFill="1" applyBorder="1"/>
    <xf numFmtId="0" fontId="9" fillId="5" borderId="4" xfId="0" applyFont="1" applyFill="1" applyBorder="1"/>
    <xf numFmtId="0" fontId="3" fillId="0" borderId="3" xfId="0" applyFont="1" applyBorder="1"/>
    <xf numFmtId="0" fontId="2" fillId="0" borderId="3" xfId="0" applyFont="1" applyBorder="1"/>
    <xf numFmtId="166" fontId="34" fillId="3" borderId="2" xfId="0" applyNumberFormat="1" applyFont="1" applyFill="1" applyBorder="1" applyAlignment="1">
      <alignment horizontal="center" vertical="center" textRotation="90"/>
    </xf>
    <xf numFmtId="0" fontId="0" fillId="3" borderId="0" xfId="0" applyFill="1" applyAlignment="1">
      <alignment horizontal="center"/>
    </xf>
    <xf numFmtId="166" fontId="33" fillId="4" borderId="6" xfId="0" applyNumberFormat="1" applyFont="1" applyFill="1" applyBorder="1" applyAlignment="1">
      <alignment horizontal="center" vertical="center"/>
    </xf>
    <xf numFmtId="166" fontId="5" fillId="4" borderId="6" xfId="0" applyNumberFormat="1" applyFont="1" applyFill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5" fillId="3" borderId="2" xfId="0" applyFont="1" applyFill="1" applyBorder="1"/>
    <xf numFmtId="164" fontId="5" fillId="3" borderId="2" xfId="0" applyNumberFormat="1" applyFont="1" applyFill="1" applyBorder="1"/>
    <xf numFmtId="0" fontId="5" fillId="4" borderId="2" xfId="0" applyFont="1" applyFill="1" applyBorder="1"/>
    <xf numFmtId="164" fontId="5" fillId="4" borderId="2" xfId="0" applyNumberFormat="1" applyFont="1" applyFill="1" applyBorder="1"/>
    <xf numFmtId="165" fontId="5" fillId="4" borderId="2" xfId="0" applyNumberFormat="1" applyFont="1" applyFill="1" applyBorder="1"/>
    <xf numFmtId="165" fontId="5" fillId="3" borderId="2" xfId="0" applyNumberFormat="1" applyFont="1" applyFill="1" applyBorder="1"/>
    <xf numFmtId="166" fontId="6" fillId="4" borderId="2" xfId="0" applyNumberFormat="1" applyFont="1" applyFill="1" applyBorder="1"/>
    <xf numFmtId="164" fontId="6" fillId="3" borderId="2" xfId="0" applyNumberFormat="1" applyFont="1" applyFill="1" applyBorder="1"/>
    <xf numFmtId="164" fontId="6" fillId="4" borderId="2" xfId="0" applyNumberFormat="1" applyFont="1" applyFill="1" applyBorder="1"/>
    <xf numFmtId="0" fontId="6" fillId="4" borderId="2" xfId="0" applyFont="1" applyFill="1" applyBorder="1"/>
    <xf numFmtId="0" fontId="7" fillId="0" borderId="3" xfId="0" applyFont="1" applyBorder="1"/>
    <xf numFmtId="0" fontId="6" fillId="3" borderId="2" xfId="0" applyFont="1" applyFill="1" applyBorder="1"/>
    <xf numFmtId="0" fontId="8" fillId="3" borderId="0" xfId="0" applyFont="1" applyFill="1"/>
    <xf numFmtId="0" fontId="3" fillId="3" borderId="0" xfId="0" applyFont="1" applyFill="1"/>
    <xf numFmtId="0" fontId="0" fillId="0" borderId="3" xfId="0" applyBorder="1"/>
    <xf numFmtId="166" fontId="10" fillId="5" borderId="4" xfId="0" applyNumberFormat="1" applyFont="1" applyFill="1" applyBorder="1"/>
    <xf numFmtId="166" fontId="6" fillId="3" borderId="2" xfId="0" applyNumberFormat="1" applyFont="1" applyFill="1" applyBorder="1" applyAlignment="1">
      <alignment horizontal="right"/>
    </xf>
    <xf numFmtId="166" fontId="11" fillId="3" borderId="2" xfId="0" applyNumberFormat="1" applyFont="1" applyFill="1" applyBorder="1"/>
    <xf numFmtId="166" fontId="5" fillId="3" borderId="2" xfId="0" applyNumberFormat="1" applyFont="1" applyFill="1" applyBorder="1"/>
    <xf numFmtId="166" fontId="6" fillId="4" borderId="2" xfId="0" applyNumberFormat="1" applyFont="1" applyFill="1" applyBorder="1" applyAlignment="1">
      <alignment horizontal="right"/>
    </xf>
    <xf numFmtId="166" fontId="11" fillId="4" borderId="2" xfId="0" applyNumberFormat="1" applyFont="1" applyFill="1" applyBorder="1"/>
    <xf numFmtId="166" fontId="5" fillId="4" borderId="2" xfId="0" applyNumberFormat="1" applyFont="1" applyFill="1" applyBorder="1"/>
    <xf numFmtId="0" fontId="12" fillId="5" borderId="4" xfId="0" applyFont="1" applyFill="1" applyBorder="1"/>
    <xf numFmtId="0" fontId="10" fillId="5" borderId="4" xfId="0" applyFont="1" applyFill="1" applyBorder="1"/>
    <xf numFmtId="0" fontId="12" fillId="6" borderId="5" xfId="0" applyFont="1" applyFill="1" applyBorder="1"/>
    <xf numFmtId="0" fontId="12" fillId="6" borderId="5" xfId="0" applyFont="1" applyFill="1" applyBorder="1" applyAlignment="1">
      <alignment horizontal="right"/>
    </xf>
    <xf numFmtId="166" fontId="12" fillId="6" borderId="5" xfId="0" applyNumberFormat="1" applyFont="1" applyFill="1" applyBorder="1" applyAlignment="1">
      <alignment horizontal="right"/>
    </xf>
    <xf numFmtId="166" fontId="10" fillId="6" borderId="5" xfId="0" applyNumberFormat="1" applyFont="1" applyFill="1" applyBorder="1"/>
    <xf numFmtId="166" fontId="6" fillId="3" borderId="2" xfId="0" applyNumberFormat="1" applyFont="1" applyFill="1" applyBorder="1"/>
    <xf numFmtId="9" fontId="7" fillId="0" borderId="0" xfId="0" applyNumberFormat="1" applyFont="1"/>
    <xf numFmtId="0" fontId="6" fillId="4" borderId="2" xfId="0" applyFont="1" applyFill="1" applyBorder="1" applyAlignment="1">
      <alignment horizontal="right"/>
    </xf>
    <xf numFmtId="0" fontId="6" fillId="3" borderId="2" xfId="0" applyFont="1" applyFill="1" applyBorder="1" applyAlignment="1">
      <alignment horizontal="right"/>
    </xf>
    <xf numFmtId="166" fontId="12" fillId="6" borderId="5" xfId="0" applyNumberFormat="1" applyFont="1" applyFill="1" applyBorder="1"/>
    <xf numFmtId="167" fontId="7" fillId="3" borderId="0" xfId="0" applyNumberFormat="1" applyFont="1" applyFill="1"/>
    <xf numFmtId="166" fontId="12" fillId="5" borderId="4" xfId="0" applyNumberFormat="1" applyFont="1" applyFill="1" applyBorder="1"/>
    <xf numFmtId="0" fontId="10" fillId="6" borderId="5" xfId="0" applyFont="1" applyFill="1" applyBorder="1"/>
    <xf numFmtId="0" fontId="13" fillId="3" borderId="2" xfId="0" applyFont="1" applyFill="1" applyBorder="1"/>
    <xf numFmtId="2" fontId="6" fillId="3" borderId="2" xfId="0" applyNumberFormat="1" applyFont="1" applyFill="1" applyBorder="1" applyAlignment="1">
      <alignment horizontal="right"/>
    </xf>
    <xf numFmtId="2" fontId="6" fillId="4" borderId="2" xfId="0" applyNumberFormat="1" applyFont="1" applyFill="1" applyBorder="1" applyAlignment="1">
      <alignment horizontal="right"/>
    </xf>
    <xf numFmtId="0" fontId="15" fillId="3" borderId="2" xfId="0" applyFont="1" applyFill="1" applyBorder="1" applyAlignment="1">
      <alignment horizontal="left" vertical="center" wrapText="1"/>
    </xf>
    <xf numFmtId="166" fontId="15" fillId="3" borderId="2" xfId="0" applyNumberFormat="1" applyFont="1" applyFill="1" applyBorder="1" applyAlignment="1">
      <alignment horizontal="center" vertical="center" wrapText="1"/>
    </xf>
    <xf numFmtId="166" fontId="5" fillId="3" borderId="2" xfId="0" applyNumberFormat="1" applyFont="1" applyFill="1" applyBorder="1" applyAlignment="1">
      <alignment horizontal="right"/>
    </xf>
    <xf numFmtId="166" fontId="5" fillId="4" borderId="2" xfId="0" applyNumberFormat="1" applyFont="1" applyFill="1" applyBorder="1" applyAlignment="1">
      <alignment horizontal="right"/>
    </xf>
    <xf numFmtId="166" fontId="10" fillId="6" borderId="5" xfId="0" applyNumberFormat="1" applyFont="1" applyFill="1" applyBorder="1" applyAlignment="1">
      <alignment horizontal="right"/>
    </xf>
    <xf numFmtId="0" fontId="13" fillId="4" borderId="2" xfId="0" applyFont="1" applyFill="1" applyBorder="1"/>
    <xf numFmtId="0" fontId="15" fillId="4" borderId="2" xfId="0" applyFont="1" applyFill="1" applyBorder="1" applyAlignment="1">
      <alignment horizontal="left" vertical="center" wrapText="1"/>
    </xf>
    <xf numFmtId="166" fontId="15" fillId="4" borderId="2" xfId="0" applyNumberFormat="1" applyFont="1" applyFill="1" applyBorder="1" applyAlignment="1">
      <alignment horizontal="center" vertical="center" wrapText="1"/>
    </xf>
    <xf numFmtId="166" fontId="5" fillId="4" borderId="2" xfId="0" applyNumberFormat="1" applyFont="1" applyFill="1" applyBorder="1" applyAlignment="1">
      <alignment wrapText="1"/>
    </xf>
    <xf numFmtId="166" fontId="16" fillId="3" borderId="2" xfId="0" applyNumberFormat="1" applyFont="1" applyFill="1" applyBorder="1" applyAlignment="1">
      <alignment horizontal="right"/>
    </xf>
    <xf numFmtId="0" fontId="17" fillId="4" borderId="2" xfId="0" applyFont="1" applyFill="1" applyBorder="1" applyAlignment="1">
      <alignment horizontal="left" vertical="center" wrapText="1"/>
    </xf>
    <xf numFmtId="166" fontId="17" fillId="4" borderId="2" xfId="0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166" fontId="7" fillId="0" borderId="3" xfId="0" applyNumberFormat="1" applyFont="1" applyBorder="1" applyAlignment="1">
      <alignment horizontal="right"/>
    </xf>
    <xf numFmtId="166" fontId="19" fillId="7" borderId="3" xfId="0" applyNumberFormat="1" applyFont="1" applyFill="1" applyBorder="1" applyAlignment="1">
      <alignment horizontal="right"/>
    </xf>
    <xf numFmtId="166" fontId="20" fillId="5" borderId="4" xfId="0" applyNumberFormat="1" applyFont="1" applyFill="1" applyBorder="1"/>
    <xf numFmtId="0" fontId="5" fillId="4" borderId="2" xfId="0" applyFont="1" applyFill="1" applyBorder="1" applyAlignment="1">
      <alignment horizontal="left" vertical="center" wrapText="1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3" borderId="2" xfId="0" applyNumberFormat="1" applyFont="1" applyFill="1" applyBorder="1" applyAlignment="1">
      <alignment wrapText="1"/>
    </xf>
    <xf numFmtId="0" fontId="21" fillId="0" borderId="0" xfId="0" applyFont="1"/>
    <xf numFmtId="166" fontId="22" fillId="3" borderId="2" xfId="0" applyNumberFormat="1" applyFont="1" applyFill="1" applyBorder="1"/>
    <xf numFmtId="166" fontId="22" fillId="4" borderId="2" xfId="0" applyNumberFormat="1" applyFont="1" applyFill="1" applyBorder="1"/>
    <xf numFmtId="166" fontId="23" fillId="6" borderId="5" xfId="0" applyNumberFormat="1" applyFont="1" applyFill="1" applyBorder="1"/>
    <xf numFmtId="166" fontId="16" fillId="3" borderId="2" xfId="0" applyNumberFormat="1" applyFont="1" applyFill="1" applyBorder="1"/>
    <xf numFmtId="166" fontId="24" fillId="6" borderId="5" xfId="0" applyNumberFormat="1" applyFont="1" applyFill="1" applyBorder="1"/>
    <xf numFmtId="168" fontId="7" fillId="3" borderId="0" xfId="0" applyNumberFormat="1" applyFont="1" applyFill="1"/>
    <xf numFmtId="166" fontId="16" fillId="4" borderId="2" xfId="0" applyNumberFormat="1" applyFont="1" applyFill="1" applyBorder="1"/>
    <xf numFmtId="0" fontId="25" fillId="6" borderId="5" xfId="0" applyFont="1" applyFill="1" applyBorder="1"/>
    <xf numFmtId="0" fontId="26" fillId="8" borderId="0" xfId="0" applyFont="1" applyFill="1" applyAlignment="1">
      <alignment horizontal="center"/>
    </xf>
    <xf numFmtId="0" fontId="27" fillId="4" borderId="2" xfId="0" applyFont="1" applyFill="1" applyBorder="1"/>
    <xf numFmtId="0" fontId="3" fillId="3" borderId="0" xfId="0" applyFont="1" applyFill="1" applyAlignment="1">
      <alignment wrapText="1"/>
    </xf>
    <xf numFmtId="0" fontId="28" fillId="0" borderId="0" xfId="0" applyFont="1"/>
    <xf numFmtId="168" fontId="7" fillId="0" borderId="0" xfId="0" applyNumberFormat="1" applyFont="1"/>
    <xf numFmtId="164" fontId="7" fillId="0" borderId="0" xfId="0" applyNumberFormat="1" applyFont="1"/>
    <xf numFmtId="0" fontId="29" fillId="0" borderId="0" xfId="0" applyFont="1" applyAlignment="1">
      <alignment wrapText="1"/>
    </xf>
    <xf numFmtId="164" fontId="30" fillId="0" borderId="0" xfId="0" applyNumberFormat="1" applyFont="1"/>
    <xf numFmtId="10" fontId="7" fillId="0" borderId="0" xfId="0" applyNumberFormat="1" applyFont="1"/>
    <xf numFmtId="167" fontId="31" fillId="0" borderId="0" xfId="0" applyNumberFormat="1" applyFont="1"/>
    <xf numFmtId="166" fontId="7" fillId="0" borderId="0" xfId="0" applyNumberFormat="1" applyFont="1"/>
    <xf numFmtId="168" fontId="32" fillId="0" borderId="0" xfId="0" applyNumberFormat="1" applyFont="1"/>
    <xf numFmtId="168" fontId="0" fillId="0" borderId="0" xfId="0" applyNumberFormat="1"/>
    <xf numFmtId="167" fontId="7" fillId="0" borderId="0" xfId="0" applyNumberFormat="1" applyFont="1"/>
    <xf numFmtId="166" fontId="0" fillId="0" borderId="0" xfId="0" applyNumberFormat="1"/>
    <xf numFmtId="0" fontId="3" fillId="0" borderId="0" xfId="0" applyFont="1" applyAlignment="1">
      <alignment wrapText="1"/>
    </xf>
    <xf numFmtId="166" fontId="27" fillId="4" borderId="2" xfId="0" applyNumberFormat="1" applyFont="1" applyFill="1" applyBorder="1"/>
    <xf numFmtId="166" fontId="34" fillId="3" borderId="2" xfId="0" applyNumberFormat="1" applyFont="1" applyFill="1" applyBorder="1" applyAlignment="1">
      <alignment horizontal="right" vertical="center" textRotation="90"/>
    </xf>
    <xf numFmtId="166" fontId="34" fillId="4" borderId="2" xfId="0" applyNumberFormat="1" applyFont="1" applyFill="1" applyBorder="1" applyAlignment="1">
      <alignment horizontal="right" vertical="center" textRotation="90"/>
    </xf>
    <xf numFmtId="169" fontId="5" fillId="3" borderId="2" xfId="0" applyNumberFormat="1" applyFont="1" applyFill="1" applyBorder="1"/>
    <xf numFmtId="169" fontId="11" fillId="3" borderId="2" xfId="0" applyNumberFormat="1" applyFont="1" applyFill="1" applyBorder="1"/>
    <xf numFmtId="169" fontId="27" fillId="3" borderId="2" xfId="0" applyNumberFormat="1" applyFont="1" applyFill="1" applyBorder="1"/>
    <xf numFmtId="169" fontId="5" fillId="4" borderId="2" xfId="0" applyNumberFormat="1" applyFont="1" applyFill="1" applyBorder="1"/>
    <xf numFmtId="169" fontId="11" fillId="4" borderId="2" xfId="0" applyNumberFormat="1" applyFont="1" applyFill="1" applyBorder="1"/>
    <xf numFmtId="169" fontId="27" fillId="4" borderId="2" xfId="0" applyNumberFormat="1" applyFont="1" applyFill="1" applyBorder="1"/>
    <xf numFmtId="169" fontId="10" fillId="6" borderId="5" xfId="0" applyNumberFormat="1" applyFont="1" applyFill="1" applyBorder="1"/>
    <xf numFmtId="167" fontId="1" fillId="0" borderId="2" xfId="1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8F9FA"/>
      <rgbColor rgb="FFE8F0F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D9E2F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555555"/>
      <rgbColor rgb="FF888888"/>
      <rgbColor rgb="FF1F3864"/>
      <rgbColor rgb="FF00B050"/>
      <rgbColor rgb="FF003300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8.6640625" defaultRowHeight="14.4" x14ac:dyDescent="0.3"/>
  <cols>
    <col min="1" max="1" width="30" customWidth="1"/>
    <col min="2" max="8" width="14" customWidth="1"/>
  </cols>
  <sheetData>
    <row r="1" spans="1:8" ht="15.75" customHeight="1" x14ac:dyDescent="0.35">
      <c r="A1" s="12" t="s">
        <v>0</v>
      </c>
    </row>
    <row r="2" spans="1:8" ht="15" customHeight="1" x14ac:dyDescent="0.3">
      <c r="A2" s="13" t="s">
        <v>1</v>
      </c>
    </row>
    <row r="4" spans="1:8" ht="21.75" customHeight="1" x14ac:dyDescent="0.3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</row>
    <row r="5" spans="1:8" ht="14.25" customHeight="1" x14ac:dyDescent="0.3">
      <c r="A5" s="15"/>
      <c r="B5" s="15"/>
      <c r="C5" s="15"/>
      <c r="D5" s="15"/>
      <c r="E5" s="15"/>
      <c r="F5" s="15"/>
      <c r="G5" s="15"/>
      <c r="H5" s="15"/>
    </row>
    <row r="6" spans="1:8" ht="15" customHeight="1" x14ac:dyDescent="0.3">
      <c r="A6" s="16" t="s">
        <v>10</v>
      </c>
      <c r="B6" s="17">
        <f>AVERAGE('Profit &amp; Loss'!C10/'Profit &amp; Loss'!D10-1,'Profit &amp; Loss'!D10/'Profit &amp; Loss'!E10-1,'Profit &amp; Loss'!E10/'Profit &amp; Loss'!F10-1)</f>
        <v>6.5088645414911481E-2</v>
      </c>
      <c r="C6" s="17">
        <f>B6</f>
        <v>6.5088645414911481E-2</v>
      </c>
      <c r="D6" s="17">
        <f>C6-0.5%</f>
        <v>6.0088645414911483E-2</v>
      </c>
      <c r="E6" s="17">
        <f>D6-0.5%</f>
        <v>5.5088645414911486E-2</v>
      </c>
      <c r="F6" s="17">
        <f>E6-0.5%</f>
        <v>5.0088645414911488E-2</v>
      </c>
      <c r="G6" s="17">
        <f>F6-0.5%</f>
        <v>4.5088645414911491E-2</v>
      </c>
      <c r="H6" s="17">
        <v>4.4999999999999998E-2</v>
      </c>
    </row>
    <row r="7" spans="1:8" ht="15" customHeight="1" x14ac:dyDescent="0.3">
      <c r="A7" s="18" t="s">
        <v>11</v>
      </c>
      <c r="B7" s="19">
        <f>AVERAGE(SUM('Profit &amp; Loss'!C15:C18)/'Profit &amp; Loss'!C10,SUM('Profit &amp; Loss'!D15:D18)/'Profit &amp; Loss'!D10,SUM('Profit &amp; Loss'!E15:E18)/'Profit &amp; Loss'!E10,SUM('Profit &amp; Loss'!F15:F18)/'Profit &amp; Loss'!F10)</f>
        <v>0.66142326457091283</v>
      </c>
      <c r="C7" s="19">
        <f t="shared" ref="C7:H7" si="0">B7-0.2%</f>
        <v>0.65942326457091283</v>
      </c>
      <c r="D7" s="19">
        <f t="shared" si="0"/>
        <v>0.65742326457091282</v>
      </c>
      <c r="E7" s="19">
        <f t="shared" si="0"/>
        <v>0.65542326457091282</v>
      </c>
      <c r="F7" s="19">
        <f t="shared" si="0"/>
        <v>0.65342326457091282</v>
      </c>
      <c r="G7" s="19">
        <f t="shared" si="0"/>
        <v>0.65142326457091282</v>
      </c>
      <c r="H7" s="19">
        <f t="shared" si="0"/>
        <v>0.64942326457091282</v>
      </c>
    </row>
    <row r="8" spans="1:8" ht="15" customHeight="1" x14ac:dyDescent="0.3">
      <c r="A8" s="16" t="s">
        <v>12</v>
      </c>
      <c r="B8" s="17">
        <f>AVERAGE(('Profit &amp; Loss'!C19+'Profit &amp; Loss'!C22)/'Profit &amp; Loss'!C10,('Profit &amp; Loss'!D19+'Profit &amp; Loss'!D22)/'Profit &amp; Loss'!D10,('Profit &amp; Loss'!E19+'Profit &amp; Loss'!E22)/'Profit &amp; Loss'!E10,('Profit &amp; Loss'!F19+'Profit &amp; Loss'!F22)/'Profit &amp; Loss'!F10)</f>
        <v>0.1705615986797677</v>
      </c>
      <c r="C8" s="17">
        <f t="shared" ref="C8:H8" si="1">B8</f>
        <v>0.1705615986797677</v>
      </c>
      <c r="D8" s="17">
        <f t="shared" si="1"/>
        <v>0.1705615986797677</v>
      </c>
      <c r="E8" s="17">
        <f t="shared" si="1"/>
        <v>0.1705615986797677</v>
      </c>
      <c r="F8" s="17">
        <f t="shared" si="1"/>
        <v>0.1705615986797677</v>
      </c>
      <c r="G8" s="17">
        <f t="shared" si="1"/>
        <v>0.1705615986797677</v>
      </c>
      <c r="H8" s="17">
        <f t="shared" si="1"/>
        <v>0.1705615986797677</v>
      </c>
    </row>
    <row r="9" spans="1:8" ht="15" customHeight="1" x14ac:dyDescent="0.3">
      <c r="A9" s="18" t="s">
        <v>13</v>
      </c>
      <c r="B9" s="19">
        <f>AVERAGE('Profit &amp; Loss'!C21/'Profit &amp; Loss'!C10,'Profit &amp; Loss'!D21/'Profit &amp; Loss'!D10,'Profit &amp; Loss'!E21/'Profit &amp; Loss'!E10,'Profit &amp; Loss'!F21/'Profit &amp; Loss'!F10)</f>
        <v>5.2161575751740179E-2</v>
      </c>
      <c r="C9" s="19">
        <f t="shared" ref="C9:H9" si="2">B9+0.1%</f>
        <v>5.316157575174018E-2</v>
      </c>
      <c r="D9" s="19">
        <f t="shared" si="2"/>
        <v>5.4161575751740181E-2</v>
      </c>
      <c r="E9" s="19">
        <f t="shared" si="2"/>
        <v>5.5161575751740181E-2</v>
      </c>
      <c r="F9" s="19">
        <f t="shared" si="2"/>
        <v>5.6161575751740182E-2</v>
      </c>
      <c r="G9" s="19">
        <f t="shared" si="2"/>
        <v>5.7161575751740183E-2</v>
      </c>
      <c r="H9" s="19">
        <f t="shared" si="2"/>
        <v>5.8161575751740184E-2</v>
      </c>
    </row>
    <row r="10" spans="1:8" ht="15" customHeight="1" x14ac:dyDescent="0.3">
      <c r="A10" s="16" t="s">
        <v>14</v>
      </c>
      <c r="B10" s="17">
        <f>AVERAGE(('Profit &amp; Loss'!C28+'Profit &amp; Loss'!C29)/'Profit &amp; Loss'!C25,('Profit &amp; Loss'!D28+'Profit &amp; Loss'!D29)/'Profit &amp; Loss'!D25,('Profit &amp; Loss'!E28+'Profit &amp; Loss'!E29)/'Profit &amp; Loss'!E25,('Profit &amp; Loss'!F28+'Profit &amp; Loss'!F29)/'Profit &amp; Loss'!F25)</f>
        <v>0.23119463250681049</v>
      </c>
      <c r="C10" s="17">
        <f t="shared" ref="C10:H10" si="3">B10</f>
        <v>0.23119463250681049</v>
      </c>
      <c r="D10" s="17">
        <f t="shared" si="3"/>
        <v>0.23119463250681049</v>
      </c>
      <c r="E10" s="17">
        <f t="shared" si="3"/>
        <v>0.23119463250681049</v>
      </c>
      <c r="F10" s="17">
        <f t="shared" si="3"/>
        <v>0.23119463250681049</v>
      </c>
      <c r="G10" s="17">
        <f t="shared" si="3"/>
        <v>0.23119463250681049</v>
      </c>
      <c r="H10" s="17">
        <f t="shared" si="3"/>
        <v>0.23119463250681049</v>
      </c>
    </row>
    <row r="11" spans="1:8" ht="15" customHeight="1" x14ac:dyDescent="0.3">
      <c r="A11" s="18" t="s">
        <v>15</v>
      </c>
      <c r="B11" s="20">
        <f>AVERAGE('Balance Sheet'!C26/'Profit &amp; Loss'!C10*365,'Balance Sheet'!D26/'Profit &amp; Loss'!D10*365,'Balance Sheet'!E26/'Profit &amp; Loss'!E10*365,'Balance Sheet'!F26/'Profit &amp; Loss'!F10*365)</f>
        <v>14.951663449105865</v>
      </c>
      <c r="C11" s="20">
        <v>19.8</v>
      </c>
      <c r="D11" s="20">
        <v>17.399999999999999</v>
      </c>
      <c r="E11" s="20">
        <f>B11</f>
        <v>14.951663449105865</v>
      </c>
      <c r="F11" s="20">
        <f t="shared" ref="F11:H13" si="4">E11</f>
        <v>14.951663449105865</v>
      </c>
      <c r="G11" s="20">
        <f t="shared" si="4"/>
        <v>14.951663449105865</v>
      </c>
      <c r="H11" s="20">
        <f t="shared" si="4"/>
        <v>14.951663449105865</v>
      </c>
    </row>
    <row r="12" spans="1:8" ht="15" customHeight="1" x14ac:dyDescent="0.3">
      <c r="A12" s="16" t="s">
        <v>16</v>
      </c>
      <c r="B12" s="21">
        <f>AVERAGE('Balance Sheet'!C23/SUM('Profit &amp; Loss'!C15:C18)*365,'Balance Sheet'!D23/SUM('Profit &amp; Loss'!D15:D18)*365,'Balance Sheet'!E23/SUM('Profit &amp; Loss'!E15:E18)*365,'Balance Sheet'!F23/SUM('Profit &amp; Loss'!F15:F18)*365)</f>
        <v>86.708267967336127</v>
      </c>
      <c r="C12" s="21">
        <f>B12</f>
        <v>86.708267967336127</v>
      </c>
      <c r="D12" s="21">
        <f>C12</f>
        <v>86.708267967336127</v>
      </c>
      <c r="E12" s="21">
        <f>D12</f>
        <v>86.708267967336127</v>
      </c>
      <c r="F12" s="21">
        <f t="shared" si="4"/>
        <v>86.708267967336127</v>
      </c>
      <c r="G12" s="21">
        <f t="shared" si="4"/>
        <v>86.708267967336127</v>
      </c>
      <c r="H12" s="21">
        <f t="shared" si="4"/>
        <v>86.708267967336127</v>
      </c>
    </row>
    <row r="13" spans="1:8" ht="15" customHeight="1" x14ac:dyDescent="0.3">
      <c r="A13" s="18" t="s">
        <v>17</v>
      </c>
      <c r="B13" s="20">
        <f>AVERAGE('Balance Sheet'!C57/SUM('Profit &amp; Loss'!C15:C18)*365,'Balance Sheet'!D57/SUM('Profit &amp; Loss'!D15:D18)*365,'Balance Sheet'!E57/SUM('Profit &amp; Loss'!E15:E18)*365,'Balance Sheet'!F57/SUM('Profit &amp; Loss'!F15:F18)*365)</f>
        <v>96.412222011678026</v>
      </c>
      <c r="C13" s="20">
        <v>82</v>
      </c>
      <c r="D13" s="20">
        <v>89.2</v>
      </c>
      <c r="E13" s="20">
        <f>B13</f>
        <v>96.412222011678026</v>
      </c>
      <c r="F13" s="20">
        <f t="shared" si="4"/>
        <v>96.412222011678026</v>
      </c>
      <c r="G13" s="20">
        <f t="shared" si="4"/>
        <v>96.412222011678026</v>
      </c>
      <c r="H13" s="20">
        <f t="shared" si="4"/>
        <v>96.412222011678026</v>
      </c>
    </row>
    <row r="14" spans="1:8" ht="15" customHeight="1" x14ac:dyDescent="0.3">
      <c r="A14" s="16" t="s">
        <v>18</v>
      </c>
      <c r="B14" s="17">
        <f>AVERAGE(-'Cash Flow Statement'!B27/'Profit &amp; Loss'!C10,-'Cash Flow Statement'!C27/'Profit &amp; Loss'!D10,-'Cash Flow Statement'!D27/'Profit &amp; Loss'!E10,-'Cash Flow Statement'!E27/'Profit &amp; Loss'!F10)</f>
        <v>0.14560864066902285</v>
      </c>
      <c r="C14" s="17">
        <f t="shared" ref="C14:H14" si="5">B14-1%</f>
        <v>0.13560864066902284</v>
      </c>
      <c r="D14" s="17">
        <f t="shared" si="5"/>
        <v>0.12560864066902283</v>
      </c>
      <c r="E14" s="17">
        <f t="shared" si="5"/>
        <v>0.11560864066902284</v>
      </c>
      <c r="F14" s="17">
        <f t="shared" si="5"/>
        <v>0.10560864066902284</v>
      </c>
      <c r="G14" s="17">
        <f t="shared" si="5"/>
        <v>9.5608640669022846E-2</v>
      </c>
      <c r="H14" s="17">
        <f t="shared" si="5"/>
        <v>8.5608640669022851E-2</v>
      </c>
    </row>
    <row r="15" spans="1:8" ht="15" customHeight="1" x14ac:dyDescent="0.3">
      <c r="A15" s="18" t="s">
        <v>19</v>
      </c>
      <c r="B15" s="19">
        <f>AVERAGE('Profit &amp; Loss'!C20/(('Balance Sheet'!C44+'Balance Sheet'!C55+'Balance Sheet'!D44+'Balance Sheet'!D55)/2),'Profit &amp; Loss'!D20/(('Balance Sheet'!D44+'Balance Sheet'!D55+'Balance Sheet'!E44+'Balance Sheet'!E55)/2),'Profit &amp; Loss'!E20/(('Balance Sheet'!E44+'Balance Sheet'!E55+'Balance Sheet'!F44+'Balance Sheet'!F55)/2))</f>
        <v>7.3194209863157833E-2</v>
      </c>
      <c r="C15" s="19">
        <f t="shared" ref="C15:H15" si="6">B15</f>
        <v>7.3194209863157833E-2</v>
      </c>
      <c r="D15" s="19">
        <f t="shared" si="6"/>
        <v>7.3194209863157833E-2</v>
      </c>
      <c r="E15" s="19">
        <f t="shared" si="6"/>
        <v>7.3194209863157833E-2</v>
      </c>
      <c r="F15" s="19">
        <f t="shared" si="6"/>
        <v>7.3194209863157833E-2</v>
      </c>
      <c r="G15" s="19">
        <f t="shared" si="6"/>
        <v>7.3194209863157833E-2</v>
      </c>
      <c r="H15" s="19">
        <f t="shared" si="6"/>
        <v>7.3194209863157833E-2</v>
      </c>
    </row>
    <row r="16" spans="1:8" ht="15" customHeight="1" x14ac:dyDescent="0.3">
      <c r="A16" s="16" t="s">
        <v>20</v>
      </c>
      <c r="B16" s="17">
        <f>AVERAGE(-'Cash Flow Statement'!B46/'Profit &amp; Loss'!C43,-'Cash Flow Statement'!C46/'Profit &amp; Loss'!D43,-'Cash Flow Statement'!D46/'Profit &amp; Loss'!E43)</f>
        <v>9.2249912365376871E-2</v>
      </c>
      <c r="C16" s="17">
        <f>10%</f>
        <v>0.1</v>
      </c>
      <c r="D16" s="17">
        <f>C16+1%</f>
        <v>0.11</v>
      </c>
      <c r="E16" s="17">
        <f>D16+1%</f>
        <v>0.12</v>
      </c>
      <c r="F16" s="17">
        <f>E16+1%</f>
        <v>0.13</v>
      </c>
      <c r="G16" s="17">
        <f>F16+1%</f>
        <v>0.14000000000000001</v>
      </c>
      <c r="H16" s="17">
        <f>G16+1%</f>
        <v>0.15000000000000002</v>
      </c>
    </row>
    <row r="17" spans="1:8" ht="15" customHeight="1" x14ac:dyDescent="0.3">
      <c r="A17" s="18" t="s">
        <v>21</v>
      </c>
      <c r="B17" s="22">
        <f>AVERAGE('Balance Sheet'!C21:E21)</f>
        <v>0.10802879575214959</v>
      </c>
      <c r="C17" s="22">
        <f>10%</f>
        <v>0.1</v>
      </c>
      <c r="D17" s="22">
        <f>10%</f>
        <v>0.1</v>
      </c>
      <c r="E17" s="22">
        <f>10%</f>
        <v>0.1</v>
      </c>
      <c r="F17" s="22">
        <f>10%</f>
        <v>0.1</v>
      </c>
      <c r="G17" s="22">
        <f>10%</f>
        <v>0.1</v>
      </c>
      <c r="H17" s="22">
        <f>10%</f>
        <v>0.1</v>
      </c>
    </row>
    <row r="18" spans="1:8" ht="15" customHeight="1" x14ac:dyDescent="0.3">
      <c r="A18" s="16" t="s">
        <v>22</v>
      </c>
      <c r="B18" s="23">
        <v>4.0000000000000001E-3</v>
      </c>
      <c r="C18" s="23">
        <v>4.0000000000000001E-3</v>
      </c>
      <c r="D18" s="23">
        <v>4.0000000000000001E-3</v>
      </c>
      <c r="E18" s="23">
        <v>4.0000000000000001E-3</v>
      </c>
      <c r="F18" s="23">
        <v>4.0000000000000001E-3</v>
      </c>
      <c r="G18" s="23">
        <v>4.0000000000000001E-3</v>
      </c>
      <c r="H18" s="23">
        <v>4.0000000000000001E-3</v>
      </c>
    </row>
    <row r="19" spans="1:8" ht="15" customHeight="1" x14ac:dyDescent="0.3">
      <c r="A19" s="18" t="s">
        <v>23</v>
      </c>
      <c r="B19" s="24">
        <v>0.1</v>
      </c>
      <c r="C19" s="24">
        <v>0.1</v>
      </c>
      <c r="D19" s="24">
        <v>0.1</v>
      </c>
      <c r="E19" s="24">
        <v>0.1</v>
      </c>
      <c r="F19" s="24">
        <v>0.1</v>
      </c>
      <c r="G19" s="24">
        <v>0.1</v>
      </c>
      <c r="H19" s="24">
        <v>0.1</v>
      </c>
    </row>
    <row r="20" spans="1:8" ht="15" customHeight="1" x14ac:dyDescent="0.3">
      <c r="A20" s="16" t="s">
        <v>24</v>
      </c>
      <c r="B20" s="23">
        <v>3.5000000000000003E-2</v>
      </c>
      <c r="C20" s="23">
        <v>3.5000000000000003E-2</v>
      </c>
      <c r="D20" s="23">
        <v>3.5000000000000003E-2</v>
      </c>
      <c r="E20" s="23">
        <v>3.5000000000000003E-2</v>
      </c>
      <c r="F20" s="23">
        <v>3.5000000000000003E-2</v>
      </c>
      <c r="G20" s="23">
        <v>3.5000000000000003E-2</v>
      </c>
      <c r="H20" s="23">
        <v>3.5000000000000003E-2</v>
      </c>
    </row>
    <row r="21" spans="1:8" ht="15" customHeight="1" x14ac:dyDescent="0.3">
      <c r="A21" s="18" t="s">
        <v>25</v>
      </c>
      <c r="B21" s="24">
        <v>0.05</v>
      </c>
      <c r="C21" s="24">
        <v>0.05</v>
      </c>
      <c r="D21" s="24">
        <v>0.05</v>
      </c>
      <c r="E21" s="24">
        <v>0.05</v>
      </c>
      <c r="F21" s="24">
        <v>0.05</v>
      </c>
      <c r="G21" s="24">
        <v>0.05</v>
      </c>
      <c r="H21" s="24">
        <v>0.05</v>
      </c>
    </row>
    <row r="22" spans="1:8" ht="15" customHeight="1" x14ac:dyDescent="0.3">
      <c r="A22" s="16" t="s">
        <v>26</v>
      </c>
      <c r="B22" s="23">
        <f>'Balance Sheet'!J39</f>
        <v>0.16904362377112045</v>
      </c>
      <c r="C22" s="23">
        <f>B22</f>
        <v>0.16904362377112045</v>
      </c>
      <c r="D22" s="23">
        <f>B22</f>
        <v>0.16904362377112045</v>
      </c>
      <c r="E22" s="23">
        <f>B22</f>
        <v>0.16904362377112045</v>
      </c>
      <c r="F22" s="23">
        <f>B22</f>
        <v>0.16904362377112045</v>
      </c>
      <c r="G22" s="23">
        <f>B22</f>
        <v>0.16904362377112045</v>
      </c>
      <c r="H22" s="23">
        <f>B22</f>
        <v>0.16904362377112045</v>
      </c>
    </row>
    <row r="23" spans="1:8" s="26" customFormat="1" ht="15" customHeight="1" x14ac:dyDescent="0.3">
      <c r="A23" s="25" t="s">
        <v>27</v>
      </c>
      <c r="B23" s="24">
        <f>'Balance Sheet'!J45</f>
        <v>1.5058451669881703E-2</v>
      </c>
      <c r="C23" s="24">
        <f>B23</f>
        <v>1.5058451669881703E-2</v>
      </c>
      <c r="D23" s="24">
        <f t="shared" ref="D23:H24" si="7">C23</f>
        <v>1.5058451669881703E-2</v>
      </c>
      <c r="E23" s="24">
        <f t="shared" si="7"/>
        <v>1.5058451669881703E-2</v>
      </c>
      <c r="F23" s="24">
        <f t="shared" si="7"/>
        <v>1.5058451669881703E-2</v>
      </c>
      <c r="G23" s="24">
        <f t="shared" si="7"/>
        <v>1.5058451669881703E-2</v>
      </c>
      <c r="H23" s="24">
        <f t="shared" si="7"/>
        <v>1.5058451669881703E-2</v>
      </c>
    </row>
    <row r="24" spans="1:8" s="26" customFormat="1" ht="15" customHeight="1" x14ac:dyDescent="0.3">
      <c r="A24" s="27" t="s">
        <v>28</v>
      </c>
      <c r="B24" s="23">
        <f>'Balance Sheet'!J46</f>
        <v>9.25483998419597E-2</v>
      </c>
      <c r="C24" s="23">
        <f>B24</f>
        <v>9.25483998419597E-2</v>
      </c>
      <c r="D24" s="23">
        <f t="shared" si="7"/>
        <v>9.25483998419597E-2</v>
      </c>
      <c r="E24" s="23">
        <f t="shared" si="7"/>
        <v>9.25483998419597E-2</v>
      </c>
      <c r="F24" s="23">
        <f t="shared" si="7"/>
        <v>9.25483998419597E-2</v>
      </c>
      <c r="G24" s="23">
        <f t="shared" si="7"/>
        <v>9.25483998419597E-2</v>
      </c>
      <c r="H24" s="23">
        <f t="shared" si="7"/>
        <v>9.25483998419597E-2</v>
      </c>
    </row>
    <row r="25" spans="1:8" s="26" customFormat="1" ht="15" customHeight="1" x14ac:dyDescent="0.3">
      <c r="A25" s="25" t="s">
        <v>29</v>
      </c>
      <c r="B25" s="24">
        <f>'Balance Sheet'!J47</f>
        <v>3.5171404002138196E-2</v>
      </c>
      <c r="C25" s="24">
        <f t="shared" ref="C25:H25" si="8">B25-0.2%</f>
        <v>3.3171404002138194E-2</v>
      </c>
      <c r="D25" s="24">
        <f t="shared" si="8"/>
        <v>3.1171404002138192E-2</v>
      </c>
      <c r="E25" s="24">
        <f t="shared" si="8"/>
        <v>2.917140400213819E-2</v>
      </c>
      <c r="F25" s="24">
        <f t="shared" si="8"/>
        <v>2.7171404002138189E-2</v>
      </c>
      <c r="G25" s="24">
        <f t="shared" si="8"/>
        <v>2.5171404002138187E-2</v>
      </c>
      <c r="H25" s="24">
        <f t="shared" si="8"/>
        <v>2.3171404002138185E-2</v>
      </c>
    </row>
    <row r="26" spans="1:8" s="26" customFormat="1" ht="15" customHeight="1" x14ac:dyDescent="0.3">
      <c r="A26" s="27" t="s">
        <v>30</v>
      </c>
      <c r="B26" s="23">
        <f>'Balance Sheet'!J48</f>
        <v>2.0259836846631185E-2</v>
      </c>
      <c r="C26" s="23">
        <f t="shared" ref="C26:H27" si="9">B26</f>
        <v>2.0259836846631185E-2</v>
      </c>
      <c r="D26" s="23">
        <f t="shared" si="9"/>
        <v>2.0259836846631185E-2</v>
      </c>
      <c r="E26" s="23">
        <f t="shared" si="9"/>
        <v>2.0259836846631185E-2</v>
      </c>
      <c r="F26" s="23">
        <f t="shared" si="9"/>
        <v>2.0259836846631185E-2</v>
      </c>
      <c r="G26" s="23">
        <f t="shared" si="9"/>
        <v>2.0259836846631185E-2</v>
      </c>
      <c r="H26" s="23">
        <f t="shared" si="9"/>
        <v>2.0259836846631185E-2</v>
      </c>
    </row>
    <row r="27" spans="1:8" s="26" customFormat="1" ht="15" customHeight="1" x14ac:dyDescent="0.3">
      <c r="A27" s="25" t="s">
        <v>31</v>
      </c>
      <c r="B27" s="24">
        <f>'Balance Sheet'!J60</f>
        <v>4.8323145931624331E-3</v>
      </c>
      <c r="C27" s="24">
        <f t="shared" si="9"/>
        <v>4.8323145931624331E-3</v>
      </c>
      <c r="D27" s="24">
        <f t="shared" si="9"/>
        <v>4.8323145931624331E-3</v>
      </c>
      <c r="E27" s="24">
        <f t="shared" si="9"/>
        <v>4.8323145931624331E-3</v>
      </c>
      <c r="F27" s="24">
        <f t="shared" si="9"/>
        <v>4.8323145931624331E-3</v>
      </c>
      <c r="G27" s="24">
        <f t="shared" si="9"/>
        <v>4.8323145931624331E-3</v>
      </c>
      <c r="H27" s="24">
        <f t="shared" si="9"/>
        <v>4.8323145931624331E-3</v>
      </c>
    </row>
    <row r="28" spans="1:8" s="26" customFormat="1" ht="15" customHeight="1" x14ac:dyDescent="0.3">
      <c r="A28" s="27" t="s">
        <v>32</v>
      </c>
      <c r="B28" s="23">
        <f>'Balance Sheet'!J50</f>
        <v>6.4443256559834523E-3</v>
      </c>
      <c r="C28" s="23">
        <f t="shared" ref="C28:H29" si="10">B28+0.05%</f>
        <v>6.9443256559834528E-3</v>
      </c>
      <c r="D28" s="23">
        <f t="shared" si="10"/>
        <v>7.4443256559834532E-3</v>
      </c>
      <c r="E28" s="23">
        <f t="shared" si="10"/>
        <v>7.9443256559834537E-3</v>
      </c>
      <c r="F28" s="23">
        <f t="shared" si="10"/>
        <v>8.4443256559834541E-3</v>
      </c>
      <c r="G28" s="23">
        <f t="shared" si="10"/>
        <v>8.9443256559834546E-3</v>
      </c>
      <c r="H28" s="23">
        <f t="shared" si="10"/>
        <v>9.444325655983455E-3</v>
      </c>
    </row>
    <row r="29" spans="1:8" s="26" customFormat="1" ht="15" customHeight="1" x14ac:dyDescent="0.3">
      <c r="A29" s="25" t="s">
        <v>33</v>
      </c>
      <c r="B29" s="24">
        <f>'Balance Sheet'!J56</f>
        <v>6.8617379784786294E-3</v>
      </c>
      <c r="C29" s="24">
        <f t="shared" si="10"/>
        <v>7.3617379784786299E-3</v>
      </c>
      <c r="D29" s="24">
        <f t="shared" si="10"/>
        <v>7.8617379784786303E-3</v>
      </c>
      <c r="E29" s="24">
        <f t="shared" si="10"/>
        <v>8.3617379784786307E-3</v>
      </c>
      <c r="F29" s="24">
        <f t="shared" si="10"/>
        <v>8.8617379784786312E-3</v>
      </c>
      <c r="G29" s="24">
        <f t="shared" si="10"/>
        <v>9.3617379784786316E-3</v>
      </c>
      <c r="H29" s="24">
        <f t="shared" si="10"/>
        <v>9.8617379784786321E-3</v>
      </c>
    </row>
    <row r="30" spans="1:8" s="26" customFormat="1" ht="12.75" customHeight="1" x14ac:dyDescent="0.3">
      <c r="A30" s="15"/>
      <c r="B30" s="15"/>
      <c r="C30" s="15"/>
      <c r="D30" s="15"/>
      <c r="E30" s="15"/>
      <c r="F30" s="15"/>
      <c r="G30" s="15"/>
      <c r="H30" s="15"/>
    </row>
    <row r="31" spans="1:8" s="26" customFormat="1" ht="15" customHeight="1" x14ac:dyDescent="0.3">
      <c r="A31" s="27" t="s">
        <v>29</v>
      </c>
      <c r="B31" s="23">
        <f>'Balance Sheet'!J58</f>
        <v>6.0111093034606176E-2</v>
      </c>
      <c r="C31" s="23">
        <f t="shared" ref="C31:H32" si="11">B31</f>
        <v>6.0111093034606176E-2</v>
      </c>
      <c r="D31" s="23">
        <f t="shared" si="11"/>
        <v>6.0111093034606176E-2</v>
      </c>
      <c r="E31" s="23">
        <f t="shared" si="11"/>
        <v>6.0111093034606176E-2</v>
      </c>
      <c r="F31" s="23">
        <f t="shared" si="11"/>
        <v>6.0111093034606176E-2</v>
      </c>
      <c r="G31" s="23">
        <f t="shared" si="11"/>
        <v>6.0111093034606176E-2</v>
      </c>
      <c r="H31" s="23">
        <f t="shared" si="11"/>
        <v>6.0111093034606176E-2</v>
      </c>
    </row>
    <row r="32" spans="1:8" s="26" customFormat="1" ht="15" customHeight="1" x14ac:dyDescent="0.3">
      <c r="A32" s="25" t="s">
        <v>34</v>
      </c>
      <c r="B32" s="24">
        <f>'Balance Sheet'!J59</f>
        <v>0.18732702721546934</v>
      </c>
      <c r="C32" s="24">
        <f t="shared" si="11"/>
        <v>0.18732702721546934</v>
      </c>
      <c r="D32" s="24">
        <f t="shared" si="11"/>
        <v>0.18732702721546934</v>
      </c>
      <c r="E32" s="24">
        <f t="shared" si="11"/>
        <v>0.18732702721546934</v>
      </c>
      <c r="F32" s="24">
        <f t="shared" si="11"/>
        <v>0.18732702721546934</v>
      </c>
      <c r="G32" s="24">
        <f t="shared" si="11"/>
        <v>0.18732702721546934</v>
      </c>
      <c r="H32" s="24">
        <f t="shared" si="11"/>
        <v>0.18732702721546934</v>
      </c>
    </row>
    <row r="33" spans="1:8" ht="15" customHeight="1" x14ac:dyDescent="0.3">
      <c r="A33" s="28" t="s">
        <v>35</v>
      </c>
      <c r="B33" s="28"/>
      <c r="C33" s="28"/>
      <c r="D33" s="28"/>
      <c r="E33" s="28"/>
      <c r="F33" s="28"/>
      <c r="G33" s="28"/>
      <c r="H33" s="28"/>
    </row>
    <row r="34" spans="1:8" ht="15" customHeight="1" x14ac:dyDescent="0.3">
      <c r="A34" s="28" t="s">
        <v>36</v>
      </c>
      <c r="B34" s="28"/>
      <c r="C34" s="28"/>
      <c r="D34" s="28"/>
      <c r="E34" s="28"/>
      <c r="F34" s="28"/>
      <c r="G34" s="28"/>
      <c r="H34" s="28"/>
    </row>
    <row r="35" spans="1:8" ht="15" customHeight="1" x14ac:dyDescent="0.3">
      <c r="A35" s="28" t="s">
        <v>37</v>
      </c>
      <c r="B35" s="28"/>
      <c r="C35" s="28"/>
      <c r="D35" s="28"/>
      <c r="E35" s="28"/>
      <c r="F35" s="28"/>
      <c r="G35" s="28"/>
      <c r="H35" s="28"/>
    </row>
    <row r="36" spans="1:8" ht="15" customHeight="1" x14ac:dyDescent="0.3">
      <c r="A36" s="28" t="s">
        <v>38</v>
      </c>
      <c r="B36" s="28"/>
      <c r="C36" s="28"/>
      <c r="D36" s="28"/>
      <c r="E36" s="28"/>
      <c r="F36" s="28"/>
      <c r="G36" s="28"/>
      <c r="H36" s="28"/>
    </row>
    <row r="37" spans="1:8" ht="15" customHeight="1" x14ac:dyDescent="0.3">
      <c r="A37" s="28" t="s">
        <v>39</v>
      </c>
      <c r="B37" s="28"/>
      <c r="C37" s="28"/>
      <c r="D37" s="28"/>
      <c r="E37" s="28"/>
      <c r="F37" s="28"/>
      <c r="G37" s="28"/>
      <c r="H37" s="28"/>
    </row>
    <row r="38" spans="1:8" ht="15" customHeight="1" x14ac:dyDescent="0.3">
      <c r="A38" s="29" t="s">
        <v>40</v>
      </c>
      <c r="B38" s="28"/>
      <c r="C38" s="28"/>
      <c r="D38" s="28"/>
      <c r="E38" s="28"/>
      <c r="F38" s="28"/>
      <c r="G38" s="28"/>
      <c r="H38" s="2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8.6640625" defaultRowHeight="14.4" x14ac:dyDescent="0.3"/>
  <cols>
    <col min="1" max="1" width="44" customWidth="1"/>
    <col min="2" max="2" width="7" customWidth="1"/>
    <col min="3" max="6" width="14" customWidth="1"/>
    <col min="7" max="7" width="14.88671875" customWidth="1"/>
    <col min="10" max="10" width="20" customWidth="1"/>
  </cols>
  <sheetData>
    <row r="1" spans="1:13" ht="17.25" customHeight="1" x14ac:dyDescent="0.35">
      <c r="A1" s="7" t="s">
        <v>41</v>
      </c>
      <c r="B1" s="7"/>
      <c r="C1" s="7"/>
      <c r="D1" s="7"/>
      <c r="E1" s="7"/>
    </row>
    <row r="2" spans="1:13" ht="15" customHeight="1" x14ac:dyDescent="0.3">
      <c r="A2" s="6" t="s">
        <v>42</v>
      </c>
      <c r="B2" s="6"/>
      <c r="C2" s="6"/>
      <c r="D2" s="6"/>
      <c r="E2" s="6"/>
    </row>
    <row r="3" spans="1:13" ht="14.25" customHeight="1" x14ac:dyDescent="0.3">
      <c r="A3" s="30"/>
      <c r="B3" s="30"/>
      <c r="C3" s="30"/>
      <c r="D3" s="30"/>
      <c r="E3" s="30"/>
    </row>
    <row r="4" spans="1:13" ht="21.75" customHeight="1" x14ac:dyDescent="0.3">
      <c r="A4" s="14" t="s">
        <v>43</v>
      </c>
      <c r="B4" s="14" t="s">
        <v>44</v>
      </c>
      <c r="C4" s="14" t="s">
        <v>45</v>
      </c>
      <c r="D4" s="14" t="s">
        <v>46</v>
      </c>
      <c r="E4" s="14" t="s">
        <v>47</v>
      </c>
      <c r="F4" s="14" t="s">
        <v>48</v>
      </c>
      <c r="G4" s="14" t="s">
        <v>49</v>
      </c>
      <c r="H4" s="14"/>
      <c r="I4" s="14"/>
      <c r="J4" s="14" t="s">
        <v>50</v>
      </c>
      <c r="K4" s="14"/>
      <c r="L4" s="14"/>
      <c r="M4" s="14"/>
    </row>
    <row r="5" spans="1:13" ht="15" customHeight="1" x14ac:dyDescent="0.3">
      <c r="A5" s="5" t="s">
        <v>51</v>
      </c>
      <c r="B5" s="5"/>
      <c r="C5" s="5"/>
      <c r="D5" s="5"/>
      <c r="E5" s="31"/>
      <c r="F5" s="31"/>
      <c r="G5" s="31"/>
      <c r="H5" s="31"/>
      <c r="I5" s="31"/>
      <c r="J5" s="31"/>
      <c r="K5" s="31"/>
      <c r="L5" s="31"/>
      <c r="M5" s="31"/>
    </row>
    <row r="6" spans="1:13" ht="15" customHeight="1" x14ac:dyDescent="0.3">
      <c r="A6" s="5" t="s">
        <v>52</v>
      </c>
      <c r="B6" s="5"/>
      <c r="C6" s="5"/>
      <c r="D6" s="5"/>
      <c r="E6" s="31"/>
      <c r="F6" s="31"/>
      <c r="G6" s="31"/>
      <c r="H6" s="31"/>
      <c r="I6" s="31"/>
      <c r="J6" s="31"/>
      <c r="K6" s="31"/>
      <c r="L6" s="31"/>
      <c r="M6" s="31"/>
    </row>
    <row r="7" spans="1:13" ht="15" customHeight="1" x14ac:dyDescent="0.3">
      <c r="A7" s="27" t="s">
        <v>53</v>
      </c>
      <c r="B7" s="32">
        <v>1</v>
      </c>
      <c r="C7" s="32">
        <v>751087</v>
      </c>
      <c r="D7" s="32">
        <v>683102</v>
      </c>
      <c r="E7" s="32">
        <v>606084</v>
      </c>
      <c r="F7" s="33">
        <v>570503</v>
      </c>
      <c r="G7" s="34"/>
      <c r="H7" s="34"/>
      <c r="I7" s="34"/>
      <c r="J7" s="34"/>
      <c r="K7" s="34"/>
      <c r="L7" s="34"/>
      <c r="M7" s="34"/>
    </row>
    <row r="8" spans="1:13" ht="15" customHeight="1" x14ac:dyDescent="0.3">
      <c r="A8" s="25" t="s">
        <v>54</v>
      </c>
      <c r="B8" s="35">
        <v>1</v>
      </c>
      <c r="C8" s="35">
        <v>188120</v>
      </c>
      <c r="D8" s="35">
        <v>147122</v>
      </c>
      <c r="E8" s="35">
        <v>69852</v>
      </c>
      <c r="F8" s="36">
        <v>75351</v>
      </c>
      <c r="G8" s="37"/>
      <c r="H8" s="37"/>
      <c r="I8" s="37"/>
      <c r="J8" s="37"/>
      <c r="K8" s="37"/>
      <c r="L8" s="37"/>
      <c r="M8" s="37"/>
    </row>
    <row r="9" spans="1:13" ht="15" customHeight="1" x14ac:dyDescent="0.3">
      <c r="A9" s="27" t="s">
        <v>55</v>
      </c>
      <c r="B9" s="32">
        <v>1</v>
      </c>
      <c r="C9" s="32">
        <v>157126</v>
      </c>
      <c r="D9" s="32">
        <v>144639</v>
      </c>
      <c r="E9" s="32">
        <v>89060</v>
      </c>
      <c r="F9" s="33">
        <v>63681</v>
      </c>
      <c r="G9" s="34"/>
      <c r="H9" s="34"/>
      <c r="I9" s="34"/>
      <c r="J9" s="34"/>
      <c r="K9" s="34"/>
      <c r="L9" s="34"/>
      <c r="M9" s="34"/>
    </row>
    <row r="10" spans="1:13" ht="15" customHeight="1" x14ac:dyDescent="0.3">
      <c r="A10" s="25" t="s">
        <v>56</v>
      </c>
      <c r="B10" s="35">
        <v>1</v>
      </c>
      <c r="C10" s="35">
        <v>28462</v>
      </c>
      <c r="D10" s="35">
        <v>24530</v>
      </c>
      <c r="E10" s="35">
        <v>14989</v>
      </c>
      <c r="F10" s="36">
        <v>15270</v>
      </c>
      <c r="G10" s="37"/>
      <c r="H10" s="37"/>
      <c r="I10" s="37"/>
      <c r="J10" s="37"/>
      <c r="K10" s="37"/>
      <c r="L10" s="37"/>
      <c r="M10" s="37"/>
    </row>
    <row r="11" spans="1:13" ht="15" customHeight="1" x14ac:dyDescent="0.3">
      <c r="A11" s="27" t="s">
        <v>57</v>
      </c>
      <c r="B11" s="32">
        <v>1</v>
      </c>
      <c r="C11" s="32">
        <v>192287</v>
      </c>
      <c r="D11" s="32">
        <v>169710</v>
      </c>
      <c r="E11" s="32">
        <v>152382</v>
      </c>
      <c r="F11" s="33">
        <v>117259</v>
      </c>
      <c r="G11" s="34"/>
      <c r="H11" s="34"/>
      <c r="I11" s="34"/>
      <c r="J11" s="34"/>
      <c r="K11" s="34"/>
      <c r="L11" s="34"/>
      <c r="M11" s="34"/>
    </row>
    <row r="12" spans="1:13" ht="15" customHeight="1" x14ac:dyDescent="0.3">
      <c r="A12" s="25" t="s">
        <v>58</v>
      </c>
      <c r="B12" s="35">
        <v>1</v>
      </c>
      <c r="C12" s="35">
        <v>8611</v>
      </c>
      <c r="D12" s="35">
        <v>54176</v>
      </c>
      <c r="E12" s="35">
        <v>129602</v>
      </c>
      <c r="F12" s="36">
        <v>122357</v>
      </c>
      <c r="G12" s="37"/>
      <c r="H12" s="37"/>
      <c r="I12" s="37"/>
      <c r="J12" s="37"/>
      <c r="K12" s="37"/>
      <c r="L12" s="37"/>
      <c r="M12" s="37"/>
    </row>
    <row r="13" spans="1:13" ht="15" customHeight="1" x14ac:dyDescent="0.3">
      <c r="A13" s="27" t="s">
        <v>59</v>
      </c>
      <c r="B13" s="32">
        <v>1</v>
      </c>
      <c r="C13" s="32">
        <v>36788</v>
      </c>
      <c r="D13" s="32">
        <v>38472</v>
      </c>
      <c r="E13" s="32">
        <v>56871</v>
      </c>
      <c r="F13" s="33">
        <v>54136</v>
      </c>
      <c r="G13" s="34"/>
      <c r="H13" s="34"/>
      <c r="I13" s="34"/>
      <c r="J13" s="34"/>
      <c r="K13" s="34"/>
      <c r="L13" s="34"/>
      <c r="M13" s="34"/>
    </row>
    <row r="14" spans="1:13" ht="15" customHeight="1" x14ac:dyDescent="0.3">
      <c r="A14" s="38" t="s">
        <v>60</v>
      </c>
      <c r="B14" s="39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</row>
    <row r="15" spans="1:13" ht="15" customHeight="1" x14ac:dyDescent="0.3">
      <c r="A15" s="25" t="s">
        <v>61</v>
      </c>
      <c r="B15" s="35">
        <v>2</v>
      </c>
      <c r="C15" s="35">
        <v>150901</v>
      </c>
      <c r="D15" s="35">
        <v>123672</v>
      </c>
      <c r="E15" s="35">
        <v>119502</v>
      </c>
      <c r="F15" s="36">
        <v>117087</v>
      </c>
      <c r="G15" s="37"/>
      <c r="H15" s="37"/>
      <c r="I15" s="37"/>
      <c r="J15" s="37"/>
      <c r="K15" s="37"/>
      <c r="L15" s="37"/>
      <c r="M15" s="37"/>
    </row>
    <row r="16" spans="1:13" ht="15" customHeight="1" x14ac:dyDescent="0.3">
      <c r="A16" s="27" t="s">
        <v>62</v>
      </c>
      <c r="B16" s="32">
        <v>3</v>
      </c>
      <c r="C16" s="32">
        <v>826</v>
      </c>
      <c r="D16" s="32">
        <v>742</v>
      </c>
      <c r="E16" s="32">
        <v>899</v>
      </c>
      <c r="F16" s="33">
        <v>1525</v>
      </c>
      <c r="G16" s="34"/>
      <c r="H16" s="34"/>
      <c r="I16" s="34"/>
      <c r="J16" s="34"/>
      <c r="K16" s="34"/>
      <c r="L16" s="34"/>
      <c r="M16" s="34"/>
    </row>
    <row r="17" spans="1:14" ht="15" customHeight="1" x14ac:dyDescent="0.3">
      <c r="A17" s="25" t="s">
        <v>63</v>
      </c>
      <c r="B17" s="35">
        <v>4</v>
      </c>
      <c r="C17" s="35">
        <v>4899</v>
      </c>
      <c r="D17" s="35">
        <v>6088</v>
      </c>
      <c r="E17" s="35">
        <v>2622</v>
      </c>
      <c r="F17" s="36">
        <v>2523</v>
      </c>
      <c r="G17" s="37"/>
      <c r="H17" s="37"/>
      <c r="I17" s="37"/>
      <c r="J17" s="37"/>
      <c r="K17" s="37"/>
      <c r="L17" s="37"/>
      <c r="M17" s="37"/>
    </row>
    <row r="18" spans="1:14" ht="15" customHeight="1" x14ac:dyDescent="0.3">
      <c r="A18" s="27" t="s">
        <v>64</v>
      </c>
      <c r="B18" s="32">
        <v>5</v>
      </c>
      <c r="C18" s="32">
        <v>594</v>
      </c>
      <c r="D18" s="32">
        <v>408</v>
      </c>
      <c r="E18" s="32">
        <v>938</v>
      </c>
      <c r="F18" s="33">
        <v>1549</v>
      </c>
      <c r="G18" s="34"/>
      <c r="H18" s="34"/>
      <c r="I18" s="34"/>
      <c r="J18" s="34"/>
      <c r="K18" s="34"/>
      <c r="L18" s="34"/>
      <c r="M18" s="34"/>
    </row>
    <row r="19" spans="1:14" ht="15" customHeight="1" x14ac:dyDescent="0.3">
      <c r="A19" s="25" t="s">
        <v>65</v>
      </c>
      <c r="B19" s="35">
        <v>6</v>
      </c>
      <c r="C19" s="35">
        <v>64190</v>
      </c>
      <c r="D19" s="35">
        <v>58190</v>
      </c>
      <c r="E19" s="35">
        <v>43085</v>
      </c>
      <c r="F19" s="36">
        <v>40894</v>
      </c>
      <c r="G19" s="37"/>
      <c r="H19" s="37"/>
      <c r="I19" s="37"/>
      <c r="J19" s="37"/>
      <c r="K19" s="37"/>
      <c r="L19" s="37"/>
      <c r="M19" s="37"/>
    </row>
    <row r="20" spans="1:14" ht="15.75" customHeight="1" x14ac:dyDescent="0.3">
      <c r="A20" s="40" t="s">
        <v>66</v>
      </c>
      <c r="B20" s="41"/>
      <c r="C20" s="42">
        <f>SUM(C7:C19)</f>
        <v>1583891</v>
      </c>
      <c r="D20" s="42">
        <f>SUM(D7:D19)</f>
        <v>1450851</v>
      </c>
      <c r="E20" s="42">
        <f>SUM(E7:E19)</f>
        <v>1285886</v>
      </c>
      <c r="F20" s="43">
        <f>SUM(F7:F19)</f>
        <v>1182135</v>
      </c>
      <c r="G20" s="43"/>
      <c r="H20" s="43"/>
      <c r="I20" s="43"/>
      <c r="J20" s="43"/>
      <c r="K20" s="43"/>
      <c r="L20" s="43"/>
      <c r="M20" s="43"/>
    </row>
    <row r="21" spans="1:14" ht="15" customHeight="1" x14ac:dyDescent="0.3">
      <c r="A21" s="16"/>
      <c r="B21" s="16"/>
      <c r="C21" s="44">
        <f>(SUM(C15:C19)/SUM(D15:D19))-1</f>
        <v>0.17086197778952927</v>
      </c>
      <c r="D21" s="44">
        <f>(SUM(D15:D19)/SUM(E15:E19))-1</f>
        <v>0.1320235144810411</v>
      </c>
      <c r="E21" s="44">
        <f>(SUM(E15:E19)/SUM(F15:F19))-1</f>
        <v>2.1200894985878405E-2</v>
      </c>
      <c r="F21" s="34"/>
      <c r="G21" s="34"/>
      <c r="H21" s="34"/>
      <c r="I21" s="34"/>
      <c r="J21" s="34"/>
      <c r="K21" s="34"/>
      <c r="L21" s="34"/>
      <c r="M21" s="34"/>
    </row>
    <row r="22" spans="1:14" ht="15" customHeight="1" x14ac:dyDescent="0.3">
      <c r="A22" s="5" t="s">
        <v>67</v>
      </c>
      <c r="B22" s="5"/>
      <c r="C22" s="5"/>
      <c r="D22" s="5"/>
      <c r="E22" s="31"/>
      <c r="F22" s="31"/>
      <c r="G22" s="31"/>
      <c r="H22" s="31"/>
      <c r="I22" s="31"/>
      <c r="J22" s="31"/>
      <c r="K22" s="31"/>
      <c r="L22" s="31"/>
      <c r="M22" s="31"/>
    </row>
    <row r="23" spans="1:14" ht="15" customHeight="1" x14ac:dyDescent="0.3">
      <c r="A23" s="25" t="s">
        <v>68</v>
      </c>
      <c r="B23" s="35">
        <v>7</v>
      </c>
      <c r="C23" s="35">
        <v>166941</v>
      </c>
      <c r="D23" s="35">
        <v>146062</v>
      </c>
      <c r="E23" s="35">
        <v>152770</v>
      </c>
      <c r="F23" s="36">
        <v>140008</v>
      </c>
      <c r="G23" s="37"/>
      <c r="H23" s="37"/>
      <c r="I23" s="37"/>
      <c r="J23" s="37"/>
      <c r="K23" s="37"/>
      <c r="L23" s="37"/>
      <c r="M23" s="37"/>
    </row>
    <row r="24" spans="1:14" ht="15" customHeight="1" x14ac:dyDescent="0.3">
      <c r="A24" s="38" t="s">
        <v>60</v>
      </c>
      <c r="B24" s="39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</row>
    <row r="25" spans="1:14" ht="15" customHeight="1" x14ac:dyDescent="0.3">
      <c r="A25" s="27" t="s">
        <v>61</v>
      </c>
      <c r="B25" s="32">
        <v>8</v>
      </c>
      <c r="C25" s="32">
        <v>97431</v>
      </c>
      <c r="D25" s="32">
        <v>118709</v>
      </c>
      <c r="E25" s="32">
        <v>106170</v>
      </c>
      <c r="F25" s="33">
        <v>118473</v>
      </c>
      <c r="G25" s="44">
        <f>(C25/D25)-1</f>
        <v>-0.17924504460487412</v>
      </c>
      <c r="H25" s="44">
        <f>(D25/E25)-1</f>
        <v>0.11810304229066593</v>
      </c>
      <c r="I25" s="44">
        <f>(E25/F25)-1</f>
        <v>-0.10384644602567672</v>
      </c>
      <c r="J25" s="44">
        <f>C25/'Profit &amp; Loss'!C10</f>
        <v>9.0576614683803194E-2</v>
      </c>
      <c r="K25" s="44">
        <f>D25/'Profit &amp; Loss'!D10</f>
        <v>0.12111482488144502</v>
      </c>
      <c r="L25" s="44">
        <f>E25/'Profit &amp; Loss'!E10</f>
        <v>0.11609978216938299</v>
      </c>
      <c r="M25" s="44">
        <f>F25/'Profit &amp; Loss'!F10</f>
        <v>0.1329199347926818</v>
      </c>
      <c r="N25" s="45"/>
    </row>
    <row r="26" spans="1:14" ht="15" customHeight="1" x14ac:dyDescent="0.3">
      <c r="A26" s="25" t="s">
        <v>69</v>
      </c>
      <c r="B26" s="35">
        <v>9</v>
      </c>
      <c r="C26" s="35">
        <v>58491</v>
      </c>
      <c r="D26" s="35">
        <v>42121</v>
      </c>
      <c r="E26" s="35">
        <v>31628</v>
      </c>
      <c r="F26" s="36">
        <v>28448</v>
      </c>
      <c r="G26" s="37"/>
      <c r="H26" s="37"/>
      <c r="I26" s="37"/>
      <c r="J26" s="37"/>
      <c r="K26" s="37"/>
      <c r="L26" s="37"/>
      <c r="M26" s="37"/>
    </row>
    <row r="27" spans="1:14" ht="15" customHeight="1" x14ac:dyDescent="0.3">
      <c r="A27" s="27" t="s">
        <v>70</v>
      </c>
      <c r="B27" s="32">
        <v>10</v>
      </c>
      <c r="C27" s="32">
        <v>145977</v>
      </c>
      <c r="D27" s="32">
        <v>106502</v>
      </c>
      <c r="E27" s="32">
        <v>97225</v>
      </c>
      <c r="F27" s="33">
        <v>68664</v>
      </c>
      <c r="G27" s="34"/>
      <c r="H27" s="34"/>
      <c r="I27" s="34"/>
      <c r="J27" s="34"/>
      <c r="K27" s="34"/>
      <c r="L27" s="34"/>
      <c r="M27" s="34"/>
    </row>
    <row r="28" spans="1:14" ht="15" customHeight="1" x14ac:dyDescent="0.3">
      <c r="A28" s="25" t="s">
        <v>62</v>
      </c>
      <c r="B28" s="46"/>
      <c r="C28" s="35">
        <v>4870</v>
      </c>
      <c r="D28" s="35">
        <v>5182</v>
      </c>
      <c r="E28" s="35">
        <v>2517</v>
      </c>
      <c r="F28" s="36">
        <v>176</v>
      </c>
      <c r="G28" s="22">
        <f t="shared" ref="G28:I30" si="0">(C28/D28)-1</f>
        <v>-6.0208413739868738E-2</v>
      </c>
      <c r="H28" s="22">
        <f t="shared" si="0"/>
        <v>1.0588001589193485</v>
      </c>
      <c r="I28" s="22">
        <f t="shared" si="0"/>
        <v>13.301136363636363</v>
      </c>
      <c r="J28" s="22">
        <f>C28/'Profit &amp; Loss'!C$10</f>
        <v>4.5273897785111676E-3</v>
      </c>
      <c r="K28" s="22">
        <f>D28/'Profit &amp; Loss'!D$10</f>
        <v>5.2870213929495499E-3</v>
      </c>
      <c r="L28" s="22">
        <f>E28/'Profit &amp; Loss'!E$10</f>
        <v>2.752407946880823E-3</v>
      </c>
      <c r="M28" s="22">
        <f>F28/'Profit &amp; Loss'!F$10</f>
        <v>1.97461940893807E-4</v>
      </c>
    </row>
    <row r="29" spans="1:14" ht="15" customHeight="1" x14ac:dyDescent="0.3">
      <c r="A29" s="27" t="s">
        <v>63</v>
      </c>
      <c r="B29" s="32">
        <v>11</v>
      </c>
      <c r="C29" s="32">
        <v>57926</v>
      </c>
      <c r="D29" s="32">
        <v>23546</v>
      </c>
      <c r="E29" s="32">
        <v>23965</v>
      </c>
      <c r="F29" s="33">
        <v>19696</v>
      </c>
      <c r="G29" s="44">
        <f t="shared" si="0"/>
        <v>1.4601206149664487</v>
      </c>
      <c r="H29" s="44">
        <f t="shared" si="0"/>
        <v>-1.7483830586271676E-2</v>
      </c>
      <c r="I29" s="44">
        <f t="shared" si="0"/>
        <v>0.21674451665312744</v>
      </c>
      <c r="J29" s="44">
        <f>C29/'Profit &amp; Loss'!C$10</f>
        <v>5.3850837846003675E-2</v>
      </c>
      <c r="K29" s="44">
        <f>D29/'Profit &amp; Loss'!D$10</f>
        <v>2.4023196780854902E-2</v>
      </c>
      <c r="L29" s="44">
        <f>E29/'Profit &amp; Loss'!E$10</f>
        <v>2.6206379200237953E-2</v>
      </c>
      <c r="M29" s="44">
        <f>F29/'Profit &amp; Loss'!F$10</f>
        <v>2.2097786294570581E-2</v>
      </c>
    </row>
    <row r="30" spans="1:14" ht="15" customHeight="1" x14ac:dyDescent="0.3">
      <c r="A30" s="25" t="s">
        <v>71</v>
      </c>
      <c r="B30" s="35">
        <v>12</v>
      </c>
      <c r="C30" s="35">
        <v>62613</v>
      </c>
      <c r="D30" s="35">
        <v>57148</v>
      </c>
      <c r="E30" s="35">
        <v>55825</v>
      </c>
      <c r="F30" s="36">
        <v>49831</v>
      </c>
      <c r="G30" s="22">
        <f t="shared" si="0"/>
        <v>9.5628893399594128E-2</v>
      </c>
      <c r="H30" s="22">
        <f t="shared" si="0"/>
        <v>2.369905956112861E-2</v>
      </c>
      <c r="I30" s="22">
        <f t="shared" si="0"/>
        <v>0.12028656860187437</v>
      </c>
      <c r="J30" s="22">
        <f>C30/'Profit &amp; Loss'!C$10</f>
        <v>5.8208101889511234E-2</v>
      </c>
      <c r="K30" s="22">
        <f>D30/'Profit &amp; Loss'!D$10</f>
        <v>5.8306194242431664E-2</v>
      </c>
      <c r="L30" s="22">
        <f>E30/'Profit &amp; Loss'!E$10</f>
        <v>6.1046155595797354E-2</v>
      </c>
      <c r="M30" s="22">
        <f>F30/'Profit &amp; Loss'!F$10</f>
        <v>5.5907533958405094E-2</v>
      </c>
    </row>
    <row r="31" spans="1:14" ht="15.75" customHeight="1" x14ac:dyDescent="0.3">
      <c r="A31" s="40" t="s">
        <v>72</v>
      </c>
      <c r="B31" s="41"/>
      <c r="C31" s="42">
        <f>SUM(C23:C30)</f>
        <v>594249</v>
      </c>
      <c r="D31" s="42">
        <f>SUM(D23:D30)</f>
        <v>499270</v>
      </c>
      <c r="E31" s="42">
        <f>SUM(E23:E30)</f>
        <v>470100</v>
      </c>
      <c r="F31" s="43">
        <f>SUM(F23:F30)</f>
        <v>425296</v>
      </c>
      <c r="G31" s="43"/>
      <c r="H31" s="43"/>
      <c r="I31" s="43"/>
      <c r="J31" s="43"/>
      <c r="K31" s="43"/>
      <c r="L31" s="43"/>
      <c r="M31" s="43"/>
    </row>
    <row r="32" spans="1:14" ht="14.25" customHeight="1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1:13" ht="15.75" customHeight="1" x14ac:dyDescent="0.3">
      <c r="A33" s="40" t="s">
        <v>73</v>
      </c>
      <c r="B33" s="41"/>
      <c r="C33" s="42">
        <f>SUM(C20,C31)</f>
        <v>2178140</v>
      </c>
      <c r="D33" s="42">
        <f>SUM(D20,D31)</f>
        <v>1950121</v>
      </c>
      <c r="E33" s="42">
        <f>SUM(E20,E31)</f>
        <v>1755986</v>
      </c>
      <c r="F33" s="43">
        <f>F20+F31</f>
        <v>1607431</v>
      </c>
      <c r="G33" s="43"/>
      <c r="H33" s="43"/>
      <c r="I33" s="43"/>
      <c r="J33" s="43"/>
      <c r="K33" s="43"/>
      <c r="L33" s="43"/>
      <c r="M33" s="43"/>
    </row>
    <row r="34" spans="1:13" ht="14.25" customHeight="1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</row>
    <row r="35" spans="1:13" ht="15" customHeight="1" x14ac:dyDescent="0.3">
      <c r="A35" s="5" t="s">
        <v>74</v>
      </c>
      <c r="B35" s="5"/>
      <c r="C35" s="5"/>
      <c r="D35" s="5"/>
      <c r="E35" s="31"/>
      <c r="F35" s="31"/>
      <c r="G35" s="31"/>
      <c r="H35" s="31"/>
      <c r="I35" s="31"/>
      <c r="J35" s="31"/>
      <c r="K35" s="31"/>
      <c r="L35" s="31"/>
      <c r="M35" s="31"/>
    </row>
    <row r="36" spans="1:13" ht="15" customHeight="1" x14ac:dyDescent="0.3">
      <c r="A36" s="5" t="s">
        <v>75</v>
      </c>
      <c r="B36" s="5"/>
      <c r="C36" s="5"/>
      <c r="D36" s="5"/>
      <c r="E36" s="31"/>
      <c r="F36" s="31"/>
      <c r="G36" s="31"/>
      <c r="H36" s="31"/>
      <c r="I36" s="31"/>
      <c r="J36" s="31"/>
      <c r="K36" s="31"/>
      <c r="L36" s="31"/>
      <c r="M36" s="31"/>
    </row>
    <row r="37" spans="1:13" ht="15" customHeight="1" x14ac:dyDescent="0.3">
      <c r="A37" s="27" t="s">
        <v>76</v>
      </c>
      <c r="B37" s="32">
        <v>14</v>
      </c>
      <c r="C37" s="32">
        <v>13532</v>
      </c>
      <c r="D37" s="32">
        <v>13532</v>
      </c>
      <c r="E37" s="32">
        <v>6766</v>
      </c>
      <c r="F37" s="33">
        <v>6766</v>
      </c>
      <c r="G37" s="34"/>
      <c r="H37" s="34"/>
      <c r="I37" s="34"/>
      <c r="J37" s="34"/>
      <c r="K37" s="34"/>
      <c r="L37" s="34"/>
      <c r="M37" s="34"/>
    </row>
    <row r="38" spans="1:13" ht="15" customHeight="1" x14ac:dyDescent="0.3">
      <c r="A38" s="25" t="s">
        <v>77</v>
      </c>
      <c r="B38" s="35">
        <v>15</v>
      </c>
      <c r="C38" s="35">
        <v>890498</v>
      </c>
      <c r="D38" s="35">
        <v>829668</v>
      </c>
      <c r="E38" s="35">
        <v>786715</v>
      </c>
      <c r="F38" s="36">
        <v>709106</v>
      </c>
      <c r="G38" s="22">
        <f t="shared" ref="G38:I39" si="1">(C38/D38)-1</f>
        <v>7.3318484020113983E-2</v>
      </c>
      <c r="H38" s="22">
        <f t="shared" si="1"/>
        <v>5.459791665342606E-2</v>
      </c>
      <c r="I38" s="22">
        <f t="shared" si="1"/>
        <v>0.10944626050266115</v>
      </c>
      <c r="J38" s="37"/>
      <c r="K38" s="37"/>
      <c r="L38" s="37"/>
      <c r="M38" s="37"/>
    </row>
    <row r="39" spans="1:13" ht="15" customHeight="1" x14ac:dyDescent="0.3">
      <c r="A39" s="27" t="s">
        <v>78</v>
      </c>
      <c r="B39" s="47"/>
      <c r="C39" s="32">
        <v>181836</v>
      </c>
      <c r="D39" s="32">
        <v>166426</v>
      </c>
      <c r="E39" s="32">
        <v>132307</v>
      </c>
      <c r="F39" s="33">
        <v>113009</v>
      </c>
      <c r="G39" s="44">
        <f t="shared" si="1"/>
        <v>9.2593705310468399E-2</v>
      </c>
      <c r="H39" s="44">
        <f t="shared" si="1"/>
        <v>0.25787751214977295</v>
      </c>
      <c r="I39" s="44">
        <f t="shared" si="1"/>
        <v>0.17076516029696753</v>
      </c>
      <c r="J39" s="44">
        <f>C39/'Profit &amp; Loss'!C10</f>
        <v>0.16904362377112045</v>
      </c>
      <c r="K39" s="44">
        <f>D39/'Profit &amp; Loss'!D10</f>
        <v>0.16979888505268656</v>
      </c>
      <c r="L39" s="44">
        <f>E39/'Profit &amp; Loss'!E10</f>
        <v>0.14468130243462896</v>
      </c>
      <c r="M39" s="44">
        <f>F39/'Profit &amp; Loss'!F10</f>
        <v>0.12678963908220586</v>
      </c>
    </row>
    <row r="40" spans="1:13" ht="15.75" customHeight="1" x14ac:dyDescent="0.3">
      <c r="A40" s="40" t="s">
        <v>79</v>
      </c>
      <c r="B40" s="41"/>
      <c r="C40" s="42">
        <f>SUM(C37:C39)</f>
        <v>1085866</v>
      </c>
      <c r="D40" s="42">
        <f>SUM(D37:D39)</f>
        <v>1009626</v>
      </c>
      <c r="E40" s="42">
        <f>SUM(E37:E39)</f>
        <v>925788</v>
      </c>
      <c r="F40" s="43">
        <f>SUM(F37:F39)</f>
        <v>828881</v>
      </c>
      <c r="G40" s="43"/>
      <c r="H40" s="43"/>
      <c r="I40" s="43"/>
      <c r="J40" s="43"/>
      <c r="K40" s="43"/>
      <c r="L40" s="43"/>
      <c r="M40" s="43"/>
    </row>
    <row r="41" spans="1:13" ht="14.25" customHeight="1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 ht="15" customHeight="1" x14ac:dyDescent="0.3">
      <c r="A42" s="5" t="s">
        <v>80</v>
      </c>
      <c r="B42" s="5"/>
      <c r="C42" s="5"/>
      <c r="D42" s="5"/>
      <c r="E42" s="31"/>
      <c r="F42" s="31"/>
      <c r="G42" s="31"/>
      <c r="H42" s="31"/>
      <c r="I42" s="31"/>
      <c r="J42" s="31"/>
      <c r="K42" s="31"/>
      <c r="L42" s="31"/>
      <c r="M42" s="31"/>
    </row>
    <row r="43" spans="1:13" ht="15" customHeight="1" x14ac:dyDescent="0.3">
      <c r="A43" s="38" t="s">
        <v>81</v>
      </c>
      <c r="B43" s="39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</row>
    <row r="44" spans="1:13" ht="15" customHeight="1" x14ac:dyDescent="0.3">
      <c r="A44" s="25" t="s">
        <v>82</v>
      </c>
      <c r="B44" s="35">
        <v>16</v>
      </c>
      <c r="C44" s="35">
        <v>270751</v>
      </c>
      <c r="D44" s="35">
        <v>236899</v>
      </c>
      <c r="E44" s="35">
        <v>222712</v>
      </c>
      <c r="F44" s="36">
        <v>183176</v>
      </c>
      <c r="G44" s="37"/>
      <c r="H44" s="37"/>
      <c r="I44" s="37"/>
      <c r="J44" s="37"/>
      <c r="K44" s="37"/>
      <c r="L44" s="37"/>
      <c r="M44" s="37"/>
    </row>
    <row r="45" spans="1:13" ht="15" customHeight="1" x14ac:dyDescent="0.3">
      <c r="A45" s="27" t="s">
        <v>33</v>
      </c>
      <c r="B45" s="47"/>
      <c r="C45" s="32">
        <v>16198</v>
      </c>
      <c r="D45" s="32">
        <v>17142</v>
      </c>
      <c r="E45" s="32">
        <v>17415</v>
      </c>
      <c r="F45" s="33">
        <v>16230</v>
      </c>
      <c r="G45" s="44">
        <f>(C45/D45)-1</f>
        <v>-5.5069420137673575E-2</v>
      </c>
      <c r="H45" s="44">
        <f>(D45/E45)-1</f>
        <v>-1.567614125753658E-2</v>
      </c>
      <c r="I45" s="44">
        <f>(E45/F45)-1</f>
        <v>7.3012939001848354E-2</v>
      </c>
      <c r="J45" s="44">
        <f>C45/'Profit &amp; Loss'!C$10</f>
        <v>1.5058451669881703E-2</v>
      </c>
      <c r="K45" s="44">
        <f>D45/'Profit &amp; Loss'!D$10</f>
        <v>1.7489409632948896E-2</v>
      </c>
      <c r="L45" s="44">
        <f>E45/'Profit &amp; Loss'!E$10</f>
        <v>1.9043776080623572E-2</v>
      </c>
      <c r="M45" s="44">
        <f>F45/'Profit &amp; Loss'!F$10</f>
        <v>1.8209132390377768E-2</v>
      </c>
    </row>
    <row r="46" spans="1:13" ht="15" customHeight="1" x14ac:dyDescent="0.3">
      <c r="A46" s="25" t="s">
        <v>28</v>
      </c>
      <c r="B46" s="35">
        <v>17</v>
      </c>
      <c r="C46" s="35">
        <v>99552</v>
      </c>
      <c r="D46" s="35">
        <v>104410</v>
      </c>
      <c r="E46" s="35">
        <v>108272</v>
      </c>
      <c r="F46" s="36">
        <v>112847</v>
      </c>
      <c r="G46" s="37"/>
      <c r="H46" s="37"/>
      <c r="I46" s="37"/>
      <c r="J46" s="22">
        <f>C46/'Profit &amp; Loss'!C$10</f>
        <v>9.25483998419597E-2</v>
      </c>
      <c r="K46" s="22">
        <f>D46/'Profit &amp; Loss'!D$10</f>
        <v>0.10652603312193409</v>
      </c>
      <c r="L46" s="22">
        <f>E46/'Profit &amp; Loss'!E$10</f>
        <v>0.11839837633082259</v>
      </c>
      <c r="M46" s="22">
        <f>F46/'Profit &amp; Loss'!F$10</f>
        <v>0.12660788434115589</v>
      </c>
    </row>
    <row r="47" spans="1:13" ht="15" customHeight="1" x14ac:dyDescent="0.3">
      <c r="A47" s="27" t="s">
        <v>29</v>
      </c>
      <c r="B47" s="32">
        <v>18</v>
      </c>
      <c r="C47" s="32">
        <v>37833</v>
      </c>
      <c r="D47" s="32">
        <v>10909</v>
      </c>
      <c r="E47" s="32">
        <v>5667</v>
      </c>
      <c r="F47" s="33">
        <v>7704</v>
      </c>
      <c r="G47" s="34"/>
      <c r="H47" s="34"/>
      <c r="I47" s="34"/>
      <c r="J47" s="44">
        <f>C47/'Profit &amp; Loss'!C$10</f>
        <v>3.5171404002138196E-2</v>
      </c>
      <c r="K47" s="44">
        <f>D47/'Profit &amp; Loss'!D$10</f>
        <v>1.1130088069410776E-2</v>
      </c>
      <c r="L47" s="44">
        <f>E47/'Profit &amp; Loss'!E$10</f>
        <v>6.1970186074587303E-3</v>
      </c>
      <c r="M47" s="44">
        <f>F47/'Profit &amp; Loss'!F$10</f>
        <v>8.6434476854880052E-3</v>
      </c>
    </row>
    <row r="48" spans="1:13" ht="15" customHeight="1" x14ac:dyDescent="0.3">
      <c r="A48" s="25" t="s">
        <v>83</v>
      </c>
      <c r="B48" s="35">
        <v>19</v>
      </c>
      <c r="C48" s="35">
        <v>21793</v>
      </c>
      <c r="D48" s="35">
        <v>28304</v>
      </c>
      <c r="E48" s="35">
        <v>2044</v>
      </c>
      <c r="F48" s="36">
        <v>1607</v>
      </c>
      <c r="G48" s="37"/>
      <c r="H48" s="37"/>
      <c r="I48" s="37"/>
      <c r="J48" s="22">
        <f>C48/'Profit &amp; Loss'!C$10</f>
        <v>2.0259836846631185E-2</v>
      </c>
      <c r="K48" s="22">
        <f>D48/'Profit &amp; Loss'!D$10</f>
        <v>2.887762514589812E-2</v>
      </c>
      <c r="L48" s="22">
        <f>E48/'Profit &amp; Loss'!E$10</f>
        <v>2.2351695841972196E-3</v>
      </c>
      <c r="M48" s="22">
        <f>F48/'Profit &amp; Loss'!F$10</f>
        <v>1.8029621535019763E-3</v>
      </c>
    </row>
    <row r="49" spans="1:13" ht="15" customHeight="1" x14ac:dyDescent="0.3">
      <c r="A49" s="27" t="s">
        <v>84</v>
      </c>
      <c r="B49" s="32">
        <v>5</v>
      </c>
      <c r="C49" s="32">
        <v>97961</v>
      </c>
      <c r="D49" s="32">
        <v>83453</v>
      </c>
      <c r="E49" s="32">
        <v>72241</v>
      </c>
      <c r="F49" s="33">
        <v>60324</v>
      </c>
      <c r="G49" s="34"/>
      <c r="H49" s="34"/>
      <c r="I49" s="34"/>
      <c r="J49" s="44"/>
      <c r="K49" s="44"/>
      <c r="L49" s="44"/>
      <c r="M49" s="44"/>
    </row>
    <row r="50" spans="1:13" ht="15" customHeight="1" x14ac:dyDescent="0.3">
      <c r="A50" s="25" t="s">
        <v>32</v>
      </c>
      <c r="B50" s="46"/>
      <c r="C50" s="35">
        <v>6932</v>
      </c>
      <c r="D50" s="35">
        <v>5641</v>
      </c>
      <c r="E50" s="35">
        <v>4480</v>
      </c>
      <c r="F50" s="36">
        <v>919</v>
      </c>
      <c r="G50" s="37"/>
      <c r="H50" s="37"/>
      <c r="I50" s="37"/>
      <c r="J50" s="22">
        <f>C50/'Profit &amp; Loss'!C$10</f>
        <v>6.4443256559834523E-3</v>
      </c>
      <c r="K50" s="22">
        <f>D50/'Profit &amp; Loss'!D$10</f>
        <v>5.7553237509896582E-3</v>
      </c>
      <c r="L50" s="22">
        <f>E50/'Profit &amp; Loss'!E$10</f>
        <v>4.8990018283774682E-3</v>
      </c>
      <c r="M50" s="22">
        <f>F50/'Profit &amp; Loss'!F$10</f>
        <v>1.031065475462549E-3</v>
      </c>
    </row>
    <row r="51" spans="1:13" ht="15.75" customHeight="1" x14ac:dyDescent="0.3">
      <c r="A51" s="40" t="s">
        <v>85</v>
      </c>
      <c r="B51" s="41"/>
      <c r="C51" s="42">
        <f>SUM(C44:C50)</f>
        <v>551020</v>
      </c>
      <c r="D51" s="42">
        <f>SUM(D44:D50)</f>
        <v>486758</v>
      </c>
      <c r="E51" s="42">
        <f>SUM(E44:E50)</f>
        <v>432831</v>
      </c>
      <c r="F51" s="43">
        <f>SUM(F44:F50)</f>
        <v>382807</v>
      </c>
      <c r="G51" s="43"/>
      <c r="H51" s="43"/>
      <c r="I51" s="43"/>
      <c r="J51" s="48"/>
      <c r="K51" s="48"/>
      <c r="L51" s="48"/>
      <c r="M51" s="48"/>
    </row>
    <row r="52" spans="1:13" ht="14.25" customHeight="1" x14ac:dyDescent="0.3">
      <c r="A52" s="15"/>
      <c r="B52" s="15"/>
      <c r="C52" s="15"/>
      <c r="D52" s="15"/>
      <c r="E52" s="15"/>
      <c r="F52" s="15"/>
      <c r="G52" s="15"/>
      <c r="H52" s="15"/>
      <c r="I52" s="15"/>
      <c r="J52" s="49"/>
      <c r="K52" s="49"/>
      <c r="L52" s="49"/>
      <c r="M52" s="49"/>
    </row>
    <row r="53" spans="1:13" ht="15" customHeight="1" x14ac:dyDescent="0.3">
      <c r="A53" s="5" t="s">
        <v>86</v>
      </c>
      <c r="B53" s="5"/>
      <c r="C53" s="5"/>
      <c r="D53" s="5"/>
      <c r="E53" s="31">
        <f>D44+D55</f>
        <v>347530</v>
      </c>
      <c r="F53" s="31"/>
      <c r="G53" s="31"/>
      <c r="H53" s="31"/>
      <c r="I53" s="31"/>
      <c r="J53" s="50"/>
      <c r="K53" s="50"/>
      <c r="L53" s="50"/>
      <c r="M53" s="50"/>
    </row>
    <row r="54" spans="1:13" ht="15" customHeight="1" x14ac:dyDescent="0.3">
      <c r="A54" s="38" t="s">
        <v>81</v>
      </c>
      <c r="B54" s="39"/>
      <c r="C54" s="31"/>
      <c r="D54" s="31"/>
      <c r="E54" s="31"/>
      <c r="F54" s="31"/>
      <c r="G54" s="31"/>
      <c r="H54" s="31"/>
      <c r="I54" s="31"/>
      <c r="J54" s="50"/>
      <c r="K54" s="50"/>
      <c r="L54" s="50"/>
      <c r="M54" s="50"/>
    </row>
    <row r="55" spans="1:13" ht="15" customHeight="1" x14ac:dyDescent="0.3">
      <c r="A55" s="27" t="s">
        <v>82</v>
      </c>
      <c r="B55" s="32">
        <v>20</v>
      </c>
      <c r="C55" s="32">
        <v>103670</v>
      </c>
      <c r="D55" s="32">
        <v>110631</v>
      </c>
      <c r="E55" s="32">
        <v>101910</v>
      </c>
      <c r="F55" s="33">
        <v>130790</v>
      </c>
      <c r="G55" s="44">
        <f>(C55/D55)-1</f>
        <v>-6.292088112735128E-2</v>
      </c>
      <c r="H55" s="44">
        <f>(D55/E55)-1</f>
        <v>8.5575507801000983E-2</v>
      </c>
      <c r="I55" s="44">
        <f>(E55/F55)-1</f>
        <v>-0.2208119886841502</v>
      </c>
      <c r="J55" s="44"/>
      <c r="K55" s="44"/>
      <c r="L55" s="44"/>
      <c r="M55" s="44"/>
    </row>
    <row r="56" spans="1:13" ht="15" customHeight="1" x14ac:dyDescent="0.3">
      <c r="A56" s="25" t="s">
        <v>33</v>
      </c>
      <c r="B56" s="46"/>
      <c r="C56" s="35">
        <v>7381</v>
      </c>
      <c r="D56" s="35">
        <v>4903</v>
      </c>
      <c r="E56" s="35">
        <v>4105</v>
      </c>
      <c r="F56" s="36">
        <v>4196</v>
      </c>
      <c r="G56" s="37"/>
      <c r="H56" s="37"/>
      <c r="I56" s="37"/>
      <c r="J56" s="22">
        <f>C56/'Profit &amp; Loss'!C$10</f>
        <v>6.8617379784786294E-3</v>
      </c>
      <c r="K56" s="22">
        <f>D56/'Profit &amp; Loss'!D$10</f>
        <v>5.0023670184545822E-3</v>
      </c>
      <c r="L56" s="22">
        <f>E56/'Profit &amp; Loss'!E$10</f>
        <v>4.4889291306896223E-3</v>
      </c>
      <c r="M56" s="22">
        <f>F56/'Profit &amp; Loss'!F$10</f>
        <v>4.7076721817637165E-3</v>
      </c>
    </row>
    <row r="57" spans="1:13" ht="15" customHeight="1" x14ac:dyDescent="0.3">
      <c r="A57" s="27" t="s">
        <v>87</v>
      </c>
      <c r="B57" s="32">
        <v>21</v>
      </c>
      <c r="C57" s="32">
        <v>158842</v>
      </c>
      <c r="D57" s="32">
        <v>186789</v>
      </c>
      <c r="E57" s="32">
        <v>178377</v>
      </c>
      <c r="F57" s="33">
        <v>147172</v>
      </c>
      <c r="G57" s="34"/>
      <c r="H57" s="34"/>
      <c r="I57" s="34"/>
      <c r="J57" s="44"/>
      <c r="K57" s="44"/>
      <c r="L57" s="44"/>
      <c r="M57" s="44"/>
    </row>
    <row r="58" spans="1:13" ht="15" customHeight="1" x14ac:dyDescent="0.3">
      <c r="A58" s="25" t="s">
        <v>29</v>
      </c>
      <c r="B58" s="35">
        <v>22</v>
      </c>
      <c r="C58" s="35">
        <v>64660</v>
      </c>
      <c r="D58" s="35">
        <v>57143</v>
      </c>
      <c r="E58" s="35">
        <v>55602</v>
      </c>
      <c r="F58" s="36">
        <v>68501</v>
      </c>
      <c r="G58" s="37"/>
      <c r="H58" s="37"/>
      <c r="I58" s="37"/>
      <c r="J58" s="22">
        <f>C58/'Profit &amp; Loss'!C$10</f>
        <v>6.0111093034606176E-2</v>
      </c>
      <c r="K58" s="22">
        <f>D58/'Profit &amp; Loss'!D$10</f>
        <v>5.8301092909555409E-2</v>
      </c>
      <c r="L58" s="22">
        <f>E58/'Profit &amp; Loss'!E$10</f>
        <v>6.0802299031572318E-2</v>
      </c>
      <c r="M58" s="22">
        <f>F58/'Profit &amp; Loss'!F$10</f>
        <v>7.6854206892992452E-2</v>
      </c>
    </row>
    <row r="59" spans="1:13" ht="15" customHeight="1" x14ac:dyDescent="0.3">
      <c r="A59" s="27" t="s">
        <v>34</v>
      </c>
      <c r="B59" s="32">
        <v>23</v>
      </c>
      <c r="C59" s="32">
        <v>201503</v>
      </c>
      <c r="D59" s="32">
        <v>90124</v>
      </c>
      <c r="E59" s="32">
        <v>55198</v>
      </c>
      <c r="F59" s="33">
        <v>42906</v>
      </c>
      <c r="G59" s="34"/>
      <c r="H59" s="34"/>
      <c r="I59" s="34"/>
      <c r="J59" s="44">
        <f>C59/'Profit &amp; Loss'!C$10</f>
        <v>0.18732702721546934</v>
      </c>
      <c r="K59" s="44">
        <f>D59/'Profit &amp; Loss'!D$10</f>
        <v>9.195050482790143E-2</v>
      </c>
      <c r="L59" s="44">
        <f>E59/'Profit &amp; Loss'!E$10</f>
        <v>6.0360514045263276E-2</v>
      </c>
      <c r="M59" s="44">
        <f>F59/'Profit &amp; Loss'!F$10</f>
        <v>4.813807974994138E-2</v>
      </c>
    </row>
    <row r="60" spans="1:13" ht="15" customHeight="1" x14ac:dyDescent="0.3">
      <c r="A60" s="25" t="s">
        <v>83</v>
      </c>
      <c r="B60" s="35">
        <v>24</v>
      </c>
      <c r="C60" s="35">
        <v>5198</v>
      </c>
      <c r="D60" s="35">
        <v>4147</v>
      </c>
      <c r="E60" s="35">
        <v>2175</v>
      </c>
      <c r="F60" s="36">
        <v>2178</v>
      </c>
      <c r="G60" s="37"/>
      <c r="H60" s="37"/>
      <c r="I60" s="37"/>
      <c r="J60" s="22">
        <f>C60/'Profit &amp; Loss'!C$10</f>
        <v>4.8323145931624331E-3</v>
      </c>
      <c r="K60" s="22">
        <f>D60/'Profit &amp; Loss'!D$10</f>
        <v>4.2310454875649911E-3</v>
      </c>
      <c r="L60" s="22">
        <f>E60/'Profit &amp; Loss'!E$10</f>
        <v>2.3784216465895076E-3</v>
      </c>
      <c r="M60" s="22">
        <f>F60/'Profit &amp; Loss'!F$10</f>
        <v>2.4435915185608615E-3</v>
      </c>
    </row>
    <row r="61" spans="1:13" ht="15.75" customHeight="1" x14ac:dyDescent="0.3">
      <c r="A61" s="40" t="s">
        <v>88</v>
      </c>
      <c r="B61" s="41"/>
      <c r="C61" s="42">
        <f>SUM(C55:C60)</f>
        <v>541254</v>
      </c>
      <c r="D61" s="42">
        <f>SUM(D55:D60)</f>
        <v>453737</v>
      </c>
      <c r="E61" s="42">
        <f>SUM(E55:E60)</f>
        <v>397367</v>
      </c>
      <c r="F61" s="43">
        <f>SUM(F55:F60)</f>
        <v>395743</v>
      </c>
      <c r="G61" s="43"/>
      <c r="H61" s="43"/>
      <c r="I61" s="43"/>
      <c r="J61" s="43"/>
      <c r="K61" s="43"/>
      <c r="L61" s="43"/>
      <c r="M61" s="43"/>
    </row>
    <row r="62" spans="1:13" ht="14.25" customHeight="1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 ht="15.75" customHeight="1" x14ac:dyDescent="0.3">
      <c r="A63" s="40" t="s">
        <v>89</v>
      </c>
      <c r="B63" s="41"/>
      <c r="C63" s="42">
        <f>C51+C61</f>
        <v>1092274</v>
      </c>
      <c r="D63" s="42">
        <f>D51+D61</f>
        <v>940495</v>
      </c>
      <c r="E63" s="42">
        <f>E51+E61</f>
        <v>830198</v>
      </c>
      <c r="F63" s="43">
        <f>F51+F61</f>
        <v>778550</v>
      </c>
      <c r="G63" s="43"/>
      <c r="H63" s="43"/>
      <c r="I63" s="43"/>
      <c r="J63" s="43"/>
      <c r="K63" s="43"/>
      <c r="L63" s="43"/>
      <c r="M63" s="43"/>
    </row>
    <row r="64" spans="1:13" ht="14.25" customHeight="1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 ht="15.75" customHeight="1" x14ac:dyDescent="0.3">
      <c r="A65" s="40" t="s">
        <v>90</v>
      </c>
      <c r="B65" s="41"/>
      <c r="C65" s="42">
        <f>C40+C63</f>
        <v>2178140</v>
      </c>
      <c r="D65" s="42">
        <f>D40+D63</f>
        <v>1950121</v>
      </c>
      <c r="E65" s="42">
        <f>E40+E63</f>
        <v>1755986</v>
      </c>
      <c r="F65" s="43">
        <f>F40+F63</f>
        <v>1607431</v>
      </c>
      <c r="G65" s="43"/>
      <c r="H65" s="43"/>
      <c r="I65" s="43"/>
      <c r="J65" s="43"/>
      <c r="K65" s="43"/>
      <c r="L65" s="43"/>
      <c r="M65" s="43"/>
    </row>
    <row r="66" spans="1:13" ht="15.75" customHeight="1" x14ac:dyDescent="0.3">
      <c r="A66" s="51" t="s">
        <v>91</v>
      </c>
      <c r="B66" s="51"/>
      <c r="C66" s="43">
        <f>C33-C65</f>
        <v>0</v>
      </c>
      <c r="D66" s="43">
        <f>D33-D65</f>
        <v>0</v>
      </c>
      <c r="E66" s="43">
        <f>E33-E65</f>
        <v>0</v>
      </c>
      <c r="F66" s="43">
        <f>F33-F65</f>
        <v>0</v>
      </c>
      <c r="G66" s="43"/>
      <c r="H66" s="43"/>
      <c r="I66" s="43"/>
      <c r="J66" s="43"/>
      <c r="K66" s="43"/>
      <c r="L66" s="43"/>
      <c r="M66" s="43"/>
    </row>
    <row r="67" spans="1:13" ht="15" customHeight="1" x14ac:dyDescent="0.3">
      <c r="A67" s="52" t="s">
        <v>92</v>
      </c>
      <c r="B67" s="16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</row>
    <row r="68" spans="1:13" ht="15" customHeight="1" x14ac:dyDescent="0.3">
      <c r="A68" s="18" t="s">
        <v>93</v>
      </c>
      <c r="B68" s="18"/>
      <c r="C68" s="37">
        <f>C27-'Cash Flow Statement'!B53</f>
        <v>0</v>
      </c>
      <c r="D68" s="37">
        <f>D27-'Cash Flow Statement'!C53</f>
        <v>0</v>
      </c>
      <c r="E68" s="37">
        <f>E27-'Cash Flow Statement'!D53</f>
        <v>-895</v>
      </c>
      <c r="F68" s="37">
        <f>F27-'Cash Flow Statement'!E53</f>
        <v>-895</v>
      </c>
      <c r="G68" s="37"/>
      <c r="H68" s="37"/>
      <c r="I68" s="37"/>
      <c r="J68" s="37"/>
      <c r="K68" s="37"/>
      <c r="L68" s="37"/>
      <c r="M68" s="37"/>
    </row>
  </sheetData>
  <mergeCells count="9">
    <mergeCell ref="A35:D35"/>
    <mergeCell ref="A36:D36"/>
    <mergeCell ref="A42:D42"/>
    <mergeCell ref="A53:D53"/>
    <mergeCell ref="A1:E1"/>
    <mergeCell ref="A2:E2"/>
    <mergeCell ref="A5:D5"/>
    <mergeCell ref="A6:D6"/>
    <mergeCell ref="A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8.6640625" defaultRowHeight="14.4" x14ac:dyDescent="0.3"/>
  <cols>
    <col min="1" max="1" width="52" customWidth="1"/>
    <col min="2" max="2" width="7" customWidth="1"/>
    <col min="3" max="6" width="14" customWidth="1"/>
  </cols>
  <sheetData>
    <row r="1" spans="1:6" ht="17.25" customHeight="1" x14ac:dyDescent="0.35">
      <c r="A1" s="7" t="s">
        <v>94</v>
      </c>
      <c r="B1" s="7"/>
      <c r="C1" s="7"/>
      <c r="D1" s="7"/>
      <c r="E1" s="7"/>
    </row>
    <row r="2" spans="1:6" ht="15" customHeight="1" x14ac:dyDescent="0.3">
      <c r="A2" s="6" t="s">
        <v>95</v>
      </c>
      <c r="B2" s="6"/>
      <c r="C2" s="6"/>
      <c r="D2" s="6"/>
      <c r="E2" s="6"/>
    </row>
    <row r="3" spans="1:6" ht="14.25" customHeight="1" x14ac:dyDescent="0.3">
      <c r="A3" s="30"/>
      <c r="B3" s="30"/>
      <c r="C3" s="30"/>
      <c r="D3" s="30"/>
      <c r="E3" s="30"/>
    </row>
    <row r="4" spans="1:6" ht="21.75" customHeight="1" x14ac:dyDescent="0.3">
      <c r="A4" s="14" t="s">
        <v>43</v>
      </c>
      <c r="B4" s="14" t="s">
        <v>44</v>
      </c>
      <c r="C4" s="14" t="s">
        <v>96</v>
      </c>
      <c r="D4" s="14" t="s">
        <v>97</v>
      </c>
      <c r="E4" s="14" t="s">
        <v>98</v>
      </c>
      <c r="F4" s="14" t="s">
        <v>99</v>
      </c>
    </row>
    <row r="5" spans="1:6" ht="15" customHeight="1" x14ac:dyDescent="0.3">
      <c r="A5" s="5" t="s">
        <v>100</v>
      </c>
      <c r="B5" s="5"/>
      <c r="C5" s="5"/>
      <c r="D5" s="5"/>
      <c r="E5" s="31"/>
      <c r="F5" s="31"/>
    </row>
    <row r="6" spans="1:6" ht="15" customHeight="1" x14ac:dyDescent="0.3">
      <c r="A6" s="27" t="s">
        <v>101</v>
      </c>
      <c r="B6" s="47"/>
      <c r="C6" s="32">
        <v>1043589</v>
      </c>
      <c r="D6" s="32">
        <v>960355</v>
      </c>
      <c r="E6" s="32">
        <v>883646</v>
      </c>
      <c r="F6" s="33">
        <v>856770</v>
      </c>
    </row>
    <row r="7" spans="1:6" ht="15" customHeight="1" x14ac:dyDescent="0.3">
      <c r="A7" s="25" t="s">
        <v>102</v>
      </c>
      <c r="B7" s="46"/>
      <c r="C7" s="35">
        <v>132330</v>
      </c>
      <c r="D7" s="35">
        <v>110819</v>
      </c>
      <c r="E7" s="35">
        <v>116476</v>
      </c>
      <c r="F7" s="36">
        <v>118094</v>
      </c>
    </row>
    <row r="8" spans="1:6" ht="15" customHeight="1" x14ac:dyDescent="0.3">
      <c r="A8" s="27" t="s">
        <v>103</v>
      </c>
      <c r="B8" s="47"/>
      <c r="C8" s="32">
        <f>C6+C7</f>
        <v>1175919</v>
      </c>
      <c r="D8" s="32">
        <f>D6+D7</f>
        <v>1071174</v>
      </c>
      <c r="E8" s="32">
        <f>E6+E7</f>
        <v>1000122</v>
      </c>
      <c r="F8" s="34">
        <f>F6+F7</f>
        <v>974864</v>
      </c>
    </row>
    <row r="9" spans="1:6" ht="15" customHeight="1" x14ac:dyDescent="0.3">
      <c r="A9" s="25" t="s">
        <v>104</v>
      </c>
      <c r="B9" s="46"/>
      <c r="C9" s="35">
        <v>100244</v>
      </c>
      <c r="D9" s="35">
        <v>91038</v>
      </c>
      <c r="E9" s="35">
        <v>85650</v>
      </c>
      <c r="F9" s="36">
        <v>83553</v>
      </c>
    </row>
    <row r="10" spans="1:6" ht="15" customHeight="1" x14ac:dyDescent="0.3">
      <c r="A10" s="27" t="s">
        <v>105</v>
      </c>
      <c r="B10" s="32">
        <v>25</v>
      </c>
      <c r="C10" s="32">
        <f>C8-C9</f>
        <v>1075675</v>
      </c>
      <c r="D10" s="32">
        <f>D8-D9</f>
        <v>980136</v>
      </c>
      <c r="E10" s="32">
        <f>E8-E9</f>
        <v>914472</v>
      </c>
      <c r="F10" s="34">
        <f>F8-F9</f>
        <v>891311</v>
      </c>
    </row>
    <row r="11" spans="1:6" ht="15" customHeight="1" x14ac:dyDescent="0.3">
      <c r="A11" s="25" t="s">
        <v>106</v>
      </c>
      <c r="B11" s="35">
        <v>26</v>
      </c>
      <c r="C11" s="35">
        <v>28962</v>
      </c>
      <c r="D11" s="35">
        <v>17978</v>
      </c>
      <c r="E11" s="35">
        <v>16057</v>
      </c>
      <c r="F11" s="36">
        <v>11734</v>
      </c>
    </row>
    <row r="12" spans="1:6" ht="15.75" customHeight="1" x14ac:dyDescent="0.3">
      <c r="A12" s="40" t="s">
        <v>107</v>
      </c>
      <c r="B12" s="41"/>
      <c r="C12" s="42">
        <f>C10+C11</f>
        <v>1104637</v>
      </c>
      <c r="D12" s="42">
        <f>D10+D11</f>
        <v>998114</v>
      </c>
      <c r="E12" s="42">
        <f>E10+E11</f>
        <v>930529</v>
      </c>
      <c r="F12" s="43">
        <f>F10+F11</f>
        <v>903045</v>
      </c>
    </row>
    <row r="13" spans="1:6" ht="14.25" customHeight="1" x14ac:dyDescent="0.3">
      <c r="A13" s="15"/>
      <c r="B13" s="15"/>
      <c r="C13" s="15"/>
      <c r="D13" s="15"/>
      <c r="E13" s="15"/>
      <c r="F13" s="15"/>
    </row>
    <row r="14" spans="1:6" ht="15" customHeight="1" x14ac:dyDescent="0.3">
      <c r="A14" s="5" t="s">
        <v>108</v>
      </c>
      <c r="B14" s="5"/>
      <c r="C14" s="5"/>
      <c r="D14" s="5"/>
      <c r="E14" s="31"/>
      <c r="F14" s="31"/>
    </row>
    <row r="15" spans="1:6" ht="15" customHeight="1" x14ac:dyDescent="0.3">
      <c r="A15" s="27" t="s">
        <v>109</v>
      </c>
      <c r="B15" s="47"/>
      <c r="C15" s="32">
        <v>443101</v>
      </c>
      <c r="D15" s="32">
        <v>422127</v>
      </c>
      <c r="E15" s="32">
        <v>400345</v>
      </c>
      <c r="F15" s="33">
        <v>450241</v>
      </c>
    </row>
    <row r="16" spans="1:6" ht="15" customHeight="1" x14ac:dyDescent="0.3">
      <c r="A16" s="25" t="s">
        <v>110</v>
      </c>
      <c r="B16" s="46"/>
      <c r="C16" s="35">
        <v>255829</v>
      </c>
      <c r="D16" s="35">
        <v>222686</v>
      </c>
      <c r="E16" s="35">
        <v>189881</v>
      </c>
      <c r="F16" s="36">
        <v>168505</v>
      </c>
    </row>
    <row r="17" spans="1:6" ht="15" customHeight="1" x14ac:dyDescent="0.3">
      <c r="A17" s="27" t="s">
        <v>111</v>
      </c>
      <c r="B17" s="32">
        <v>27</v>
      </c>
      <c r="C17" s="32">
        <v>-10267</v>
      </c>
      <c r="D17" s="32">
        <v>-15124</v>
      </c>
      <c r="E17" s="32">
        <v>-4883</v>
      </c>
      <c r="F17" s="33">
        <v>-30263</v>
      </c>
    </row>
    <row r="18" spans="1:6" ht="15" customHeight="1" x14ac:dyDescent="0.3">
      <c r="A18" s="25" t="s">
        <v>112</v>
      </c>
      <c r="B18" s="46"/>
      <c r="C18" s="35">
        <v>18456</v>
      </c>
      <c r="D18" s="35">
        <v>15443</v>
      </c>
      <c r="E18" s="35">
        <v>13408</v>
      </c>
      <c r="F18" s="36">
        <v>13476</v>
      </c>
    </row>
    <row r="19" spans="1:6" ht="15" customHeight="1" x14ac:dyDescent="0.3">
      <c r="A19" s="27" t="s">
        <v>113</v>
      </c>
      <c r="B19" s="32">
        <v>28</v>
      </c>
      <c r="C19" s="32">
        <v>30318</v>
      </c>
      <c r="D19" s="32">
        <v>28559</v>
      </c>
      <c r="E19" s="32">
        <v>25679</v>
      </c>
      <c r="F19" s="33">
        <v>24872</v>
      </c>
    </row>
    <row r="20" spans="1:6" ht="15" customHeight="1" x14ac:dyDescent="0.3">
      <c r="A20" s="25" t="s">
        <v>114</v>
      </c>
      <c r="B20" s="35">
        <v>29</v>
      </c>
      <c r="C20" s="35">
        <v>27061</v>
      </c>
      <c r="D20" s="35">
        <v>24269</v>
      </c>
      <c r="E20" s="35">
        <v>23118</v>
      </c>
      <c r="F20" s="36">
        <v>19571</v>
      </c>
    </row>
    <row r="21" spans="1:6" ht="15" customHeight="1" x14ac:dyDescent="0.3">
      <c r="A21" s="27" t="s">
        <v>115</v>
      </c>
      <c r="B21" s="32">
        <v>1</v>
      </c>
      <c r="C21" s="32">
        <v>57688</v>
      </c>
      <c r="D21" s="32">
        <v>53136</v>
      </c>
      <c r="E21" s="32">
        <v>50832</v>
      </c>
      <c r="F21" s="33">
        <v>40303</v>
      </c>
    </row>
    <row r="22" spans="1:6" ht="15" customHeight="1" x14ac:dyDescent="0.3">
      <c r="A22" s="25" t="s">
        <v>116</v>
      </c>
      <c r="B22" s="35">
        <v>30</v>
      </c>
      <c r="C22" s="35">
        <v>159289</v>
      </c>
      <c r="D22" s="35">
        <v>141001</v>
      </c>
      <c r="E22" s="35">
        <v>127809</v>
      </c>
      <c r="F22" s="36">
        <v>122318</v>
      </c>
    </row>
    <row r="23" spans="1:6" ht="15.75" customHeight="1" x14ac:dyDescent="0.3">
      <c r="A23" s="40" t="s">
        <v>117</v>
      </c>
      <c r="B23" s="41"/>
      <c r="C23" s="42">
        <f>SUM(C15:C22)</f>
        <v>981475</v>
      </c>
      <c r="D23" s="42">
        <f>SUM(D15:D22)</f>
        <v>892097</v>
      </c>
      <c r="E23" s="42">
        <f>SUM(E15:E22)</f>
        <v>826189</v>
      </c>
      <c r="F23" s="43">
        <f>SUM(F15:F22)</f>
        <v>809023</v>
      </c>
    </row>
    <row r="24" spans="1:6" ht="14.25" customHeight="1" x14ac:dyDescent="0.3">
      <c r="A24" s="15"/>
      <c r="B24" s="15"/>
      <c r="C24" s="15"/>
      <c r="D24" s="15"/>
      <c r="E24" s="15"/>
      <c r="F24" s="15"/>
    </row>
    <row r="25" spans="1:6" ht="15" customHeight="1" x14ac:dyDescent="0.3">
      <c r="A25" s="27" t="s">
        <v>118</v>
      </c>
      <c r="B25" s="47"/>
      <c r="C25" s="32">
        <f>C12-C23</f>
        <v>123162</v>
      </c>
      <c r="D25" s="32">
        <f>D12-D23</f>
        <v>106017</v>
      </c>
      <c r="E25" s="32">
        <f>E12-E23</f>
        <v>104340</v>
      </c>
      <c r="F25" s="34">
        <f>F12-F23</f>
        <v>94022</v>
      </c>
    </row>
    <row r="26" spans="1:6" ht="14.25" customHeight="1" x14ac:dyDescent="0.3">
      <c r="A26" s="15"/>
      <c r="B26" s="15"/>
      <c r="C26" s="15"/>
      <c r="D26" s="15"/>
      <c r="E26" s="15"/>
      <c r="F26" s="15"/>
    </row>
    <row r="27" spans="1:6" ht="15" customHeight="1" x14ac:dyDescent="0.3">
      <c r="A27" s="4" t="s">
        <v>119</v>
      </c>
      <c r="B27" s="4"/>
      <c r="C27" s="4"/>
      <c r="D27" s="4"/>
      <c r="E27" s="37"/>
      <c r="F27" s="37"/>
    </row>
    <row r="28" spans="1:6" ht="15" customHeight="1" x14ac:dyDescent="0.3">
      <c r="A28" s="27" t="s">
        <v>120</v>
      </c>
      <c r="B28" s="32">
        <v>13</v>
      </c>
      <c r="C28" s="32">
        <v>9736</v>
      </c>
      <c r="D28" s="32">
        <v>12758</v>
      </c>
      <c r="E28" s="32">
        <v>13590</v>
      </c>
      <c r="F28" s="33">
        <v>8398</v>
      </c>
    </row>
    <row r="29" spans="1:6" ht="15" customHeight="1" x14ac:dyDescent="0.3">
      <c r="A29" s="25" t="s">
        <v>121</v>
      </c>
      <c r="B29" s="35">
        <v>13</v>
      </c>
      <c r="C29" s="35">
        <v>17816</v>
      </c>
      <c r="D29" s="35">
        <v>12472</v>
      </c>
      <c r="E29" s="35">
        <v>12117</v>
      </c>
      <c r="F29" s="36">
        <v>11978</v>
      </c>
    </row>
    <row r="30" spans="1:6" ht="15.75" customHeight="1" x14ac:dyDescent="0.3">
      <c r="A30" s="40" t="s">
        <v>122</v>
      </c>
      <c r="B30" s="41"/>
      <c r="C30" s="42">
        <f>C25-C28-C29</f>
        <v>95610</v>
      </c>
      <c r="D30" s="42">
        <f>D25-D28-D29</f>
        <v>80787</v>
      </c>
      <c r="E30" s="42">
        <f>E25-E28-E29</f>
        <v>78633</v>
      </c>
      <c r="F30" s="43">
        <f>F25-F28-F29</f>
        <v>73646</v>
      </c>
    </row>
    <row r="31" spans="1:6" ht="15" customHeight="1" x14ac:dyDescent="0.3">
      <c r="A31" s="27" t="s">
        <v>123</v>
      </c>
      <c r="B31" s="47"/>
      <c r="C31" s="32">
        <v>144</v>
      </c>
      <c r="D31" s="32">
        <v>522</v>
      </c>
      <c r="E31" s="32">
        <v>387</v>
      </c>
      <c r="F31" s="33">
        <v>24</v>
      </c>
    </row>
    <row r="32" spans="1:6" ht="15.75" customHeight="1" x14ac:dyDescent="0.3">
      <c r="A32" s="40" t="s">
        <v>124</v>
      </c>
      <c r="B32" s="41"/>
      <c r="C32" s="42">
        <f>C30+C31</f>
        <v>95754</v>
      </c>
      <c r="D32" s="42">
        <f>D30+D31</f>
        <v>81309</v>
      </c>
      <c r="E32" s="42">
        <f>E30+E31</f>
        <v>79020</v>
      </c>
      <c r="F32" s="43">
        <f>F30+F31</f>
        <v>73670</v>
      </c>
    </row>
    <row r="33" spans="1:6" ht="14.25" customHeight="1" x14ac:dyDescent="0.3">
      <c r="A33" s="15"/>
      <c r="B33" s="15"/>
      <c r="C33" s="15"/>
      <c r="D33" s="15"/>
      <c r="E33" s="15"/>
      <c r="F33" s="15"/>
    </row>
    <row r="34" spans="1:6" ht="15" customHeight="1" x14ac:dyDescent="0.3">
      <c r="A34" s="5" t="s">
        <v>125</v>
      </c>
      <c r="B34" s="5"/>
      <c r="C34" s="5"/>
      <c r="D34" s="5"/>
      <c r="E34" s="31"/>
      <c r="F34" s="31"/>
    </row>
    <row r="35" spans="1:6" ht="15" customHeight="1" x14ac:dyDescent="0.3">
      <c r="A35" s="25" t="s">
        <v>126</v>
      </c>
      <c r="B35" s="46" t="s">
        <v>127</v>
      </c>
      <c r="C35" s="35">
        <v>-337</v>
      </c>
      <c r="D35" s="35">
        <v>-2904</v>
      </c>
      <c r="E35" s="35">
        <v>3852</v>
      </c>
      <c r="F35" s="36">
        <v>-39</v>
      </c>
    </row>
    <row r="36" spans="1:6" ht="15" customHeight="1" x14ac:dyDescent="0.3">
      <c r="A36" s="27" t="s">
        <v>128</v>
      </c>
      <c r="B36" s="47" t="s">
        <v>127</v>
      </c>
      <c r="C36" s="32">
        <v>84</v>
      </c>
      <c r="D36" s="32">
        <v>438</v>
      </c>
      <c r="E36" s="32">
        <v>-433</v>
      </c>
      <c r="F36" s="33">
        <v>-13</v>
      </c>
    </row>
    <row r="37" spans="1:6" ht="15" customHeight="1" x14ac:dyDescent="0.3">
      <c r="A37" s="25" t="s">
        <v>129</v>
      </c>
      <c r="B37" s="46" t="s">
        <v>130</v>
      </c>
      <c r="C37" s="35">
        <v>-14623</v>
      </c>
      <c r="D37" s="35">
        <v>-214</v>
      </c>
      <c r="E37" s="35">
        <v>244</v>
      </c>
      <c r="F37" s="36">
        <v>-9503</v>
      </c>
    </row>
    <row r="38" spans="1:6" ht="15" customHeight="1" x14ac:dyDescent="0.3">
      <c r="A38" s="27" t="s">
        <v>131</v>
      </c>
      <c r="B38" s="47" t="s">
        <v>130</v>
      </c>
      <c r="C38" s="32">
        <v>3329</v>
      </c>
      <c r="D38" s="32">
        <v>244</v>
      </c>
      <c r="E38" s="32">
        <v>6</v>
      </c>
      <c r="F38" s="33">
        <v>1829</v>
      </c>
    </row>
    <row r="39" spans="1:6" ht="15.75" customHeight="1" x14ac:dyDescent="0.3">
      <c r="A39" s="40" t="s">
        <v>132</v>
      </c>
      <c r="B39" s="41"/>
      <c r="C39" s="42">
        <f>SUM(C35:C38)</f>
        <v>-11547</v>
      </c>
      <c r="D39" s="42">
        <f>SUM(D35:D38)</f>
        <v>-2436</v>
      </c>
      <c r="E39" s="42">
        <f>SUM(E35:E38)</f>
        <v>3669</v>
      </c>
      <c r="F39" s="43">
        <f>SUM(F35:F38)</f>
        <v>-7726</v>
      </c>
    </row>
    <row r="40" spans="1:6" ht="15.75" customHeight="1" x14ac:dyDescent="0.3">
      <c r="A40" s="40" t="s">
        <v>133</v>
      </c>
      <c r="B40" s="41"/>
      <c r="C40" s="42">
        <f>C32+C39</f>
        <v>84207</v>
      </c>
      <c r="D40" s="42">
        <f>D32+D39</f>
        <v>78873</v>
      </c>
      <c r="E40" s="42">
        <f>E32+E39</f>
        <v>82689</v>
      </c>
      <c r="F40" s="43">
        <f>F32+F39</f>
        <v>65944</v>
      </c>
    </row>
    <row r="41" spans="1:6" ht="14.25" customHeight="1" x14ac:dyDescent="0.3">
      <c r="A41" s="15"/>
      <c r="B41" s="15"/>
      <c r="C41" s="15"/>
      <c r="D41" s="15"/>
      <c r="E41" s="15"/>
      <c r="F41" s="15"/>
    </row>
    <row r="42" spans="1:6" ht="15" customHeight="1" x14ac:dyDescent="0.3">
      <c r="A42" s="4" t="s">
        <v>134</v>
      </c>
      <c r="B42" s="4"/>
      <c r="C42" s="4"/>
      <c r="D42" s="4"/>
      <c r="E42" s="37"/>
      <c r="F42" s="37"/>
    </row>
    <row r="43" spans="1:6" ht="15" customHeight="1" x14ac:dyDescent="0.3">
      <c r="A43" s="27" t="s">
        <v>135</v>
      </c>
      <c r="B43" s="47"/>
      <c r="C43" s="32">
        <v>80775</v>
      </c>
      <c r="D43" s="32">
        <v>69648</v>
      </c>
      <c r="E43" s="32">
        <v>69621</v>
      </c>
      <c r="F43" s="33">
        <v>66702</v>
      </c>
    </row>
    <row r="44" spans="1:6" ht="15" customHeight="1" x14ac:dyDescent="0.3">
      <c r="A44" s="25" t="s">
        <v>136</v>
      </c>
      <c r="B44" s="46"/>
      <c r="C44" s="35">
        <v>14979</v>
      </c>
      <c r="D44" s="35">
        <v>11661</v>
      </c>
      <c r="E44" s="35">
        <v>9399</v>
      </c>
      <c r="F44" s="36">
        <v>7386</v>
      </c>
    </row>
    <row r="45" spans="1:6" ht="14.25" customHeight="1" x14ac:dyDescent="0.3">
      <c r="A45" s="15"/>
      <c r="B45" s="15"/>
      <c r="C45" s="15"/>
      <c r="D45" s="15"/>
      <c r="E45" s="15"/>
      <c r="F45" s="15"/>
    </row>
    <row r="46" spans="1:6" ht="15" customHeight="1" x14ac:dyDescent="0.3">
      <c r="A46" s="3" t="s">
        <v>137</v>
      </c>
      <c r="B46" s="3"/>
      <c r="C46" s="3"/>
      <c r="D46" s="3"/>
      <c r="E46" s="34"/>
      <c r="F46" s="34"/>
    </row>
    <row r="47" spans="1:6" ht="15" customHeight="1" x14ac:dyDescent="0.3">
      <c r="A47" s="25" t="s">
        <v>135</v>
      </c>
      <c r="B47" s="46"/>
      <c r="C47" s="35">
        <v>-11937</v>
      </c>
      <c r="D47" s="35">
        <v>-2433</v>
      </c>
      <c r="E47" s="35">
        <v>3567</v>
      </c>
      <c r="F47" s="36">
        <v>-18783</v>
      </c>
    </row>
    <row r="48" spans="1:6" ht="15" customHeight="1" x14ac:dyDescent="0.3">
      <c r="A48" s="27" t="s">
        <v>136</v>
      </c>
      <c r="B48" s="47"/>
      <c r="C48" s="32">
        <v>390</v>
      </c>
      <c r="D48" s="32">
        <v>-3</v>
      </c>
      <c r="E48" s="32">
        <v>102</v>
      </c>
      <c r="F48" s="33">
        <v>-29</v>
      </c>
    </row>
    <row r="49" spans="1:6" ht="14.25" customHeight="1" x14ac:dyDescent="0.3">
      <c r="A49" s="15"/>
      <c r="B49" s="15"/>
      <c r="C49" s="15"/>
      <c r="D49" s="15"/>
      <c r="E49" s="15"/>
      <c r="F49" s="15"/>
    </row>
    <row r="50" spans="1:6" ht="15.75" customHeight="1" x14ac:dyDescent="0.3">
      <c r="A50" s="2" t="s">
        <v>138</v>
      </c>
      <c r="B50" s="2"/>
      <c r="C50" s="2"/>
      <c r="D50" s="2"/>
      <c r="E50" s="43"/>
      <c r="F50" s="43"/>
    </row>
    <row r="51" spans="1:6" ht="15" customHeight="1" x14ac:dyDescent="0.3">
      <c r="A51" s="25" t="s">
        <v>135</v>
      </c>
      <c r="B51" s="46"/>
      <c r="C51" s="35">
        <f t="shared" ref="C51:F52" si="0">C43+C47</f>
        <v>68838</v>
      </c>
      <c r="D51" s="35">
        <f t="shared" si="0"/>
        <v>67215</v>
      </c>
      <c r="E51" s="35">
        <f t="shared" si="0"/>
        <v>73188</v>
      </c>
      <c r="F51" s="37">
        <f t="shared" si="0"/>
        <v>47919</v>
      </c>
    </row>
    <row r="52" spans="1:6" ht="15" customHeight="1" x14ac:dyDescent="0.3">
      <c r="A52" s="27" t="s">
        <v>136</v>
      </c>
      <c r="B52" s="47"/>
      <c r="C52" s="32">
        <f t="shared" si="0"/>
        <v>15369</v>
      </c>
      <c r="D52" s="32">
        <f t="shared" si="0"/>
        <v>11658</v>
      </c>
      <c r="E52" s="32">
        <f t="shared" si="0"/>
        <v>9501</v>
      </c>
      <c r="F52" s="34">
        <f t="shared" si="0"/>
        <v>7357</v>
      </c>
    </row>
    <row r="53" spans="1:6" ht="14.25" customHeight="1" x14ac:dyDescent="0.3">
      <c r="A53" s="15"/>
      <c r="B53" s="15"/>
      <c r="C53" s="15"/>
      <c r="D53" s="15"/>
      <c r="E53" s="15"/>
      <c r="F53" s="15"/>
    </row>
    <row r="54" spans="1:6" ht="15" customHeight="1" x14ac:dyDescent="0.3">
      <c r="A54" s="4" t="s">
        <v>139</v>
      </c>
      <c r="B54" s="4"/>
      <c r="C54" s="4"/>
      <c r="D54" s="4"/>
      <c r="E54" s="37"/>
      <c r="F54" s="37"/>
    </row>
    <row r="55" spans="1:6" ht="15" customHeight="1" x14ac:dyDescent="0.3">
      <c r="A55" s="27" t="s">
        <v>140</v>
      </c>
      <c r="B55" s="53">
        <v>31</v>
      </c>
      <c r="C55" s="32">
        <v>59.69</v>
      </c>
      <c r="D55" s="32">
        <v>51.47</v>
      </c>
      <c r="E55" s="32">
        <v>51.45</v>
      </c>
      <c r="F55" s="33">
        <v>97.97</v>
      </c>
    </row>
    <row r="56" spans="1:6" ht="15" customHeight="1" x14ac:dyDescent="0.3">
      <c r="A56" s="25" t="s">
        <v>141</v>
      </c>
      <c r="B56" s="54">
        <v>31</v>
      </c>
      <c r="C56" s="35">
        <v>59.69</v>
      </c>
      <c r="D56" s="35">
        <v>51.47</v>
      </c>
      <c r="E56" s="35">
        <v>51.45</v>
      </c>
      <c r="F56" s="36">
        <v>97.97</v>
      </c>
    </row>
    <row r="57" spans="1:6" ht="14.25" customHeight="1" x14ac:dyDescent="0.3">
      <c r="A57" s="15"/>
      <c r="B57" s="15"/>
      <c r="C57" s="15"/>
      <c r="D57" s="15"/>
      <c r="E57" s="15"/>
      <c r="F57" s="15"/>
    </row>
    <row r="58" spans="1:6" ht="15" customHeight="1" x14ac:dyDescent="0.3">
      <c r="A58" s="52" t="s">
        <v>142</v>
      </c>
      <c r="B58" s="16"/>
      <c r="C58" s="34"/>
      <c r="D58" s="34"/>
      <c r="E58" s="34"/>
      <c r="F58" s="34"/>
    </row>
  </sheetData>
  <mergeCells count="10">
    <mergeCell ref="A34:D34"/>
    <mergeCell ref="A42:D42"/>
    <mergeCell ref="A46:D46"/>
    <mergeCell ref="A50:D50"/>
    <mergeCell ref="A54:D54"/>
    <mergeCell ref="A1:E1"/>
    <mergeCell ref="A2:E2"/>
    <mergeCell ref="A5:D5"/>
    <mergeCell ref="A14:D14"/>
    <mergeCell ref="A27:D2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showGridLines="0" zoomScaleNormal="100" workbookViewId="0">
      <pane xSplit="1" ySplit="4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8.6640625" defaultRowHeight="14.4" x14ac:dyDescent="0.3"/>
  <cols>
    <col min="1" max="1" width="38" customWidth="1"/>
    <col min="2" max="10" width="12" customWidth="1"/>
    <col min="11" max="11" width="14" customWidth="1"/>
  </cols>
  <sheetData>
    <row r="1" spans="1:11" ht="17.25" customHeight="1" x14ac:dyDescent="0.35">
      <c r="A1" s="7" t="s">
        <v>143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1.75" customHeight="1" x14ac:dyDescent="0.3">
      <c r="A2" s="1" t="s">
        <v>95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4.25" customHeight="1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15" customHeight="1" x14ac:dyDescent="0.3">
      <c r="A4" s="55" t="s">
        <v>43</v>
      </c>
      <c r="B4" s="56" t="s">
        <v>144</v>
      </c>
      <c r="C4" s="56" t="s">
        <v>145</v>
      </c>
      <c r="D4" s="56" t="s">
        <v>146</v>
      </c>
      <c r="E4" s="56" t="s">
        <v>147</v>
      </c>
      <c r="F4" s="56" t="s">
        <v>148</v>
      </c>
      <c r="G4" s="56" t="s">
        <v>149</v>
      </c>
      <c r="H4" s="56" t="s">
        <v>150</v>
      </c>
      <c r="I4" s="56" t="s">
        <v>151</v>
      </c>
      <c r="J4" s="56" t="s">
        <v>152</v>
      </c>
      <c r="K4" s="56" t="s">
        <v>153</v>
      </c>
    </row>
    <row r="5" spans="1:11" ht="15" customHeight="1" x14ac:dyDescent="0.3">
      <c r="A5" s="4" t="s">
        <v>154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 ht="15" customHeight="1" x14ac:dyDescent="0.3">
      <c r="A6" s="27" t="s">
        <v>76</v>
      </c>
      <c r="B6" s="32">
        <v>13532</v>
      </c>
      <c r="C6" s="32" t="s">
        <v>155</v>
      </c>
      <c r="D6" s="32" t="s">
        <v>155</v>
      </c>
      <c r="E6" s="32" t="s">
        <v>155</v>
      </c>
      <c r="F6" s="32" t="s">
        <v>155</v>
      </c>
      <c r="G6" s="32" t="s">
        <v>155</v>
      </c>
      <c r="H6" s="32" t="s">
        <v>155</v>
      </c>
      <c r="I6" s="32" t="s">
        <v>155</v>
      </c>
      <c r="J6" s="32" t="s">
        <v>155</v>
      </c>
      <c r="K6" s="32">
        <f>SUM(B6:J6)</f>
        <v>13532</v>
      </c>
    </row>
    <row r="7" spans="1:11" ht="15" customHeight="1" x14ac:dyDescent="0.3">
      <c r="A7" s="4" t="s">
        <v>156</v>
      </c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15" customHeight="1" x14ac:dyDescent="0.3">
      <c r="A8" s="27" t="s">
        <v>157</v>
      </c>
      <c r="B8" s="32">
        <v>280</v>
      </c>
      <c r="C8" s="32" t="s">
        <v>155</v>
      </c>
      <c r="D8" s="32" t="s">
        <v>155</v>
      </c>
      <c r="E8" s="32" t="s">
        <v>155</v>
      </c>
      <c r="F8" s="32" t="s">
        <v>155</v>
      </c>
      <c r="G8" s="32" t="s">
        <v>155</v>
      </c>
      <c r="H8" s="32" t="s">
        <v>155</v>
      </c>
      <c r="I8" s="32" t="s">
        <v>155</v>
      </c>
      <c r="J8" s="32" t="s">
        <v>155</v>
      </c>
      <c r="K8" s="32">
        <f t="shared" ref="K8:K15" si="0">SUM(B8:J8)</f>
        <v>280</v>
      </c>
    </row>
    <row r="9" spans="1:11" ht="15" customHeight="1" x14ac:dyDescent="0.3">
      <c r="A9" s="25" t="s">
        <v>158</v>
      </c>
      <c r="B9" s="35">
        <v>44</v>
      </c>
      <c r="C9" s="35" t="s">
        <v>155</v>
      </c>
      <c r="D9" s="35" t="s">
        <v>155</v>
      </c>
      <c r="E9" s="35">
        <v>1059</v>
      </c>
      <c r="F9" s="35" t="s">
        <v>155</v>
      </c>
      <c r="G9" s="35" t="s">
        <v>155</v>
      </c>
      <c r="H9" s="35" t="s">
        <v>155</v>
      </c>
      <c r="I9" s="35" t="s">
        <v>155</v>
      </c>
      <c r="J9" s="35" t="s">
        <v>155</v>
      </c>
      <c r="K9" s="35">
        <f t="shared" si="0"/>
        <v>1103</v>
      </c>
    </row>
    <row r="10" spans="1:11" ht="15" customHeight="1" x14ac:dyDescent="0.3">
      <c r="A10" s="27" t="s">
        <v>159</v>
      </c>
      <c r="B10" s="32">
        <v>2069</v>
      </c>
      <c r="C10" s="32" t="s">
        <v>155</v>
      </c>
      <c r="D10" s="32" t="s">
        <v>155</v>
      </c>
      <c r="E10" s="32">
        <v>39</v>
      </c>
      <c r="F10" s="32" t="s">
        <v>155</v>
      </c>
      <c r="G10" s="32" t="s">
        <v>155</v>
      </c>
      <c r="H10" s="32" t="s">
        <v>155</v>
      </c>
      <c r="I10" s="32" t="s">
        <v>155</v>
      </c>
      <c r="J10" s="32" t="s">
        <v>155</v>
      </c>
      <c r="K10" s="32">
        <f t="shared" si="0"/>
        <v>2108</v>
      </c>
    </row>
    <row r="11" spans="1:11" ht="15" customHeight="1" x14ac:dyDescent="0.3">
      <c r="A11" s="25" t="s">
        <v>160</v>
      </c>
      <c r="B11" s="35">
        <v>790</v>
      </c>
      <c r="C11" s="35" t="s">
        <v>155</v>
      </c>
      <c r="D11" s="35" t="s">
        <v>155</v>
      </c>
      <c r="E11" s="35" t="s">
        <v>155</v>
      </c>
      <c r="F11" s="35" t="s">
        <v>155</v>
      </c>
      <c r="G11" s="35" t="s">
        <v>155</v>
      </c>
      <c r="H11" s="35" t="s">
        <v>155</v>
      </c>
      <c r="I11" s="35">
        <v>-117</v>
      </c>
      <c r="J11" s="35" t="s">
        <v>155</v>
      </c>
      <c r="K11" s="35">
        <f t="shared" si="0"/>
        <v>673</v>
      </c>
    </row>
    <row r="12" spans="1:11" ht="15" customHeight="1" x14ac:dyDescent="0.3">
      <c r="A12" s="27" t="s">
        <v>161</v>
      </c>
      <c r="B12" s="32">
        <v>603</v>
      </c>
      <c r="C12" s="32" t="s">
        <v>155</v>
      </c>
      <c r="D12" s="32" t="s">
        <v>155</v>
      </c>
      <c r="E12" s="32">
        <v>63</v>
      </c>
      <c r="F12" s="32" t="s">
        <v>155</v>
      </c>
      <c r="G12" s="32" t="s">
        <v>155</v>
      </c>
      <c r="H12" s="32" t="s">
        <v>155</v>
      </c>
      <c r="I12" s="32" t="s">
        <v>155</v>
      </c>
      <c r="J12" s="32" t="s">
        <v>155</v>
      </c>
      <c r="K12" s="32">
        <f t="shared" si="0"/>
        <v>666</v>
      </c>
    </row>
    <row r="13" spans="1:11" ht="15" customHeight="1" x14ac:dyDescent="0.3">
      <c r="A13" s="25" t="s">
        <v>162</v>
      </c>
      <c r="B13" s="35">
        <v>93104</v>
      </c>
      <c r="C13" s="35" t="s">
        <v>155</v>
      </c>
      <c r="D13" s="35" t="s">
        <v>155</v>
      </c>
      <c r="E13" s="35" t="s">
        <v>155</v>
      </c>
      <c r="F13" s="35" t="s">
        <v>155</v>
      </c>
      <c r="G13" s="35" t="s">
        <v>155</v>
      </c>
      <c r="H13" s="35" t="s">
        <v>155</v>
      </c>
      <c r="I13" s="35">
        <v>14</v>
      </c>
      <c r="J13" s="35" t="s">
        <v>155</v>
      </c>
      <c r="K13" s="35">
        <f t="shared" si="0"/>
        <v>93118</v>
      </c>
    </row>
    <row r="14" spans="1:11" ht="15" customHeight="1" x14ac:dyDescent="0.3">
      <c r="A14" s="27" t="s">
        <v>163</v>
      </c>
      <c r="B14" s="32">
        <v>292704</v>
      </c>
      <c r="C14" s="32" t="s">
        <v>155</v>
      </c>
      <c r="D14" s="32" t="s">
        <v>155</v>
      </c>
      <c r="E14" s="32" t="s">
        <v>155</v>
      </c>
      <c r="F14" s="32" t="s">
        <v>155</v>
      </c>
      <c r="G14" s="32" t="s">
        <v>155</v>
      </c>
      <c r="H14" s="32" t="s">
        <v>155</v>
      </c>
      <c r="I14" s="32" t="s">
        <v>155</v>
      </c>
      <c r="J14" s="32" t="s">
        <v>155</v>
      </c>
      <c r="K14" s="32">
        <f t="shared" si="0"/>
        <v>292704</v>
      </c>
    </row>
    <row r="15" spans="1:11" ht="15" customHeight="1" x14ac:dyDescent="0.3">
      <c r="A15" s="25" t="s">
        <v>164</v>
      </c>
      <c r="B15" s="35">
        <v>391943</v>
      </c>
      <c r="C15" s="35">
        <v>80775</v>
      </c>
      <c r="D15" s="35">
        <v>-7443</v>
      </c>
      <c r="E15" s="35">
        <v>-1161</v>
      </c>
      <c r="F15" s="35" t="s">
        <v>155</v>
      </c>
      <c r="G15" s="35" t="s">
        <v>155</v>
      </c>
      <c r="H15" s="35" t="s">
        <v>155</v>
      </c>
      <c r="I15" s="35" t="s">
        <v>155</v>
      </c>
      <c r="J15" s="35">
        <v>-470</v>
      </c>
      <c r="K15" s="35">
        <f t="shared" si="0"/>
        <v>463644</v>
      </c>
    </row>
    <row r="16" spans="1:11" ht="15" customHeight="1" x14ac:dyDescent="0.3">
      <c r="A16" s="5" t="s">
        <v>125</v>
      </c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5" customHeight="1" x14ac:dyDescent="0.3">
      <c r="A17" s="27" t="s">
        <v>165</v>
      </c>
      <c r="B17" s="32">
        <v>-333</v>
      </c>
      <c r="C17" s="32">
        <v>-31</v>
      </c>
      <c r="D17" s="32" t="s">
        <v>155</v>
      </c>
      <c r="E17" s="32" t="s">
        <v>155</v>
      </c>
      <c r="F17" s="32" t="s">
        <v>155</v>
      </c>
      <c r="G17" s="32" t="s">
        <v>155</v>
      </c>
      <c r="H17" s="32" t="s">
        <v>155</v>
      </c>
      <c r="I17" s="32" t="s">
        <v>155</v>
      </c>
      <c r="J17" s="32" t="s">
        <v>155</v>
      </c>
      <c r="K17" s="57">
        <f t="shared" ref="K17:K22" si="1">SUM(B17:J17)</f>
        <v>-364</v>
      </c>
    </row>
    <row r="18" spans="1:11" ht="15" customHeight="1" x14ac:dyDescent="0.3">
      <c r="A18" s="25" t="s">
        <v>166</v>
      </c>
      <c r="B18" s="35">
        <v>60897</v>
      </c>
      <c r="C18" s="35">
        <v>-525</v>
      </c>
      <c r="D18" s="35" t="s">
        <v>155</v>
      </c>
      <c r="E18" s="35" t="s">
        <v>155</v>
      </c>
      <c r="F18" s="35" t="s">
        <v>155</v>
      </c>
      <c r="G18" s="35" t="s">
        <v>155</v>
      </c>
      <c r="H18" s="35" t="s">
        <v>155</v>
      </c>
      <c r="I18" s="35" t="s">
        <v>155</v>
      </c>
      <c r="J18" s="35" t="s">
        <v>155</v>
      </c>
      <c r="K18" s="58">
        <f t="shared" si="1"/>
        <v>60372</v>
      </c>
    </row>
    <row r="19" spans="1:11" ht="15" customHeight="1" x14ac:dyDescent="0.3">
      <c r="A19" s="27" t="s">
        <v>167</v>
      </c>
      <c r="B19" s="32">
        <v>2228</v>
      </c>
      <c r="C19" s="32">
        <v>-195</v>
      </c>
      <c r="D19" s="32" t="s">
        <v>155</v>
      </c>
      <c r="E19" s="32" t="s">
        <v>155</v>
      </c>
      <c r="F19" s="32" t="s">
        <v>155</v>
      </c>
      <c r="G19" s="32" t="s">
        <v>155</v>
      </c>
      <c r="H19" s="32" t="s">
        <v>155</v>
      </c>
      <c r="I19" s="32" t="s">
        <v>155</v>
      </c>
      <c r="J19" s="32" t="s">
        <v>155</v>
      </c>
      <c r="K19" s="57">
        <f t="shared" si="1"/>
        <v>2033</v>
      </c>
    </row>
    <row r="20" spans="1:11" ht="15" customHeight="1" x14ac:dyDescent="0.3">
      <c r="A20" s="25" t="s">
        <v>168</v>
      </c>
      <c r="B20" s="35">
        <v>-14099</v>
      </c>
      <c r="C20" s="35">
        <v>-12820</v>
      </c>
      <c r="D20" s="35" t="s">
        <v>155</v>
      </c>
      <c r="E20" s="35" t="s">
        <v>155</v>
      </c>
      <c r="F20" s="35" t="s">
        <v>155</v>
      </c>
      <c r="G20" s="35" t="s">
        <v>155</v>
      </c>
      <c r="H20" s="35" t="s">
        <v>155</v>
      </c>
      <c r="I20" s="35" t="s">
        <v>155</v>
      </c>
      <c r="J20" s="35" t="s">
        <v>155</v>
      </c>
      <c r="K20" s="58">
        <f t="shared" si="1"/>
        <v>-26919</v>
      </c>
    </row>
    <row r="21" spans="1:11" ht="15" customHeight="1" x14ac:dyDescent="0.3">
      <c r="A21" s="27" t="s">
        <v>169</v>
      </c>
      <c r="B21" s="32">
        <v>-562</v>
      </c>
      <c r="C21" s="32">
        <v>1634</v>
      </c>
      <c r="D21" s="32" t="s">
        <v>155</v>
      </c>
      <c r="E21" s="32" t="s">
        <v>155</v>
      </c>
      <c r="F21" s="32" t="s">
        <v>155</v>
      </c>
      <c r="G21" s="32" t="s">
        <v>155</v>
      </c>
      <c r="H21" s="32" t="s">
        <v>155</v>
      </c>
      <c r="I21" s="32" t="s">
        <v>155</v>
      </c>
      <c r="J21" s="32">
        <v>8</v>
      </c>
      <c r="K21" s="57">
        <f t="shared" si="1"/>
        <v>1080</v>
      </c>
    </row>
    <row r="22" spans="1:11" ht="15" customHeight="1" x14ac:dyDescent="0.3">
      <c r="A22" s="25" t="s">
        <v>78</v>
      </c>
      <c r="B22" s="35">
        <v>166426</v>
      </c>
      <c r="C22" s="35">
        <v>15369</v>
      </c>
      <c r="D22" s="35">
        <v>-436</v>
      </c>
      <c r="E22" s="35" t="s">
        <v>155</v>
      </c>
      <c r="F22" s="35" t="s">
        <v>155</v>
      </c>
      <c r="G22" s="35" t="s">
        <v>155</v>
      </c>
      <c r="H22" s="35" t="s">
        <v>155</v>
      </c>
      <c r="I22" s="35" t="s">
        <v>155</v>
      </c>
      <c r="J22" s="35">
        <v>477</v>
      </c>
      <c r="K22" s="58">
        <f t="shared" si="1"/>
        <v>181836</v>
      </c>
    </row>
    <row r="23" spans="1:11" ht="15.75" customHeight="1" x14ac:dyDescent="0.3">
      <c r="A23" s="40" t="s">
        <v>170</v>
      </c>
      <c r="B23" s="59">
        <f t="shared" ref="B23:K23" si="2">SUM(B8:B15,B17:B22)</f>
        <v>996094</v>
      </c>
      <c r="C23" s="59">
        <f t="shared" si="2"/>
        <v>84207</v>
      </c>
      <c r="D23" s="59">
        <f t="shared" si="2"/>
        <v>-7879</v>
      </c>
      <c r="E23" s="59">
        <f t="shared" si="2"/>
        <v>0</v>
      </c>
      <c r="F23" s="59">
        <f t="shared" si="2"/>
        <v>0</v>
      </c>
      <c r="G23" s="59">
        <f t="shared" si="2"/>
        <v>0</v>
      </c>
      <c r="H23" s="59">
        <f t="shared" si="2"/>
        <v>0</v>
      </c>
      <c r="I23" s="59">
        <f t="shared" si="2"/>
        <v>-103</v>
      </c>
      <c r="J23" s="59">
        <f t="shared" si="2"/>
        <v>15</v>
      </c>
      <c r="K23" s="59">
        <f t="shared" si="2"/>
        <v>1072334</v>
      </c>
    </row>
    <row r="24" spans="1:11" ht="14.25" customHeight="1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5" spans="1:11" ht="15" customHeight="1" x14ac:dyDescent="0.3">
      <c r="A25" s="28" t="s">
        <v>171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</row>
    <row r="26" spans="1:11" ht="15" customHeight="1" x14ac:dyDescent="0.3">
      <c r="A26" s="52" t="s">
        <v>172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ht="15" customHeight="1" x14ac:dyDescent="0.3">
      <c r="A27" s="60" t="s">
        <v>173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</row>
    <row r="28" spans="1:11" ht="14.25" customHeight="1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</row>
    <row r="29" spans="1:11" ht="15" customHeight="1" x14ac:dyDescent="0.3">
      <c r="A29" s="3" t="s">
        <v>174</v>
      </c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4.25" customHeight="1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 ht="15" customHeight="1" x14ac:dyDescent="0.3">
      <c r="A31" s="61" t="s">
        <v>43</v>
      </c>
      <c r="B31" s="62" t="s">
        <v>175</v>
      </c>
      <c r="C31" s="62" t="s">
        <v>145</v>
      </c>
      <c r="D31" s="62" t="s">
        <v>146</v>
      </c>
      <c r="E31" s="62" t="s">
        <v>147</v>
      </c>
      <c r="F31" s="62" t="s">
        <v>148</v>
      </c>
      <c r="G31" s="62" t="s">
        <v>149</v>
      </c>
      <c r="H31" s="62" t="s">
        <v>150</v>
      </c>
      <c r="I31" s="62" t="s">
        <v>151</v>
      </c>
      <c r="J31" s="62" t="s">
        <v>152</v>
      </c>
      <c r="K31" s="62" t="s">
        <v>176</v>
      </c>
    </row>
    <row r="32" spans="1:11" ht="15" customHeight="1" x14ac:dyDescent="0.3">
      <c r="A32" s="3" t="s">
        <v>154</v>
      </c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5" customHeight="1" x14ac:dyDescent="0.3">
      <c r="A33" s="25" t="s">
        <v>76</v>
      </c>
      <c r="B33" s="35">
        <v>6766</v>
      </c>
      <c r="C33" s="35" t="s">
        <v>155</v>
      </c>
      <c r="D33" s="35" t="s">
        <v>155</v>
      </c>
      <c r="E33" s="35" t="s">
        <v>155</v>
      </c>
      <c r="F33" s="35" t="s">
        <v>155</v>
      </c>
      <c r="G33" s="35" t="s">
        <v>155</v>
      </c>
      <c r="H33" s="35" t="s">
        <v>155</v>
      </c>
      <c r="I33" s="35" t="s">
        <v>155</v>
      </c>
      <c r="J33" s="35" t="s">
        <v>155</v>
      </c>
      <c r="K33" s="35">
        <v>13532</v>
      </c>
    </row>
    <row r="34" spans="1:11" ht="15" customHeight="1" x14ac:dyDescent="0.3">
      <c r="A34" s="3" t="s">
        <v>156</v>
      </c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" customHeight="1" x14ac:dyDescent="0.3">
      <c r="A35" s="25" t="s">
        <v>157</v>
      </c>
      <c r="B35" s="35">
        <v>280</v>
      </c>
      <c r="C35" s="35" t="s">
        <v>155</v>
      </c>
      <c r="D35" s="35" t="s">
        <v>155</v>
      </c>
      <c r="E35" s="35" t="s">
        <v>155</v>
      </c>
      <c r="F35" s="35" t="s">
        <v>155</v>
      </c>
      <c r="G35" s="35" t="s">
        <v>155</v>
      </c>
      <c r="H35" s="35" t="s">
        <v>155</v>
      </c>
      <c r="I35" s="35" t="s">
        <v>155</v>
      </c>
      <c r="J35" s="35" t="s">
        <v>155</v>
      </c>
      <c r="K35" s="35">
        <v>280</v>
      </c>
    </row>
    <row r="36" spans="1:11" ht="15" customHeight="1" x14ac:dyDescent="0.3">
      <c r="A36" s="27" t="s">
        <v>158</v>
      </c>
      <c r="B36" s="32">
        <v>44</v>
      </c>
      <c r="C36" s="32" t="s">
        <v>155</v>
      </c>
      <c r="D36" s="32" t="s">
        <v>155</v>
      </c>
      <c r="E36" s="32" t="s">
        <v>155</v>
      </c>
      <c r="F36" s="32" t="s">
        <v>155</v>
      </c>
      <c r="G36" s="32" t="s">
        <v>155</v>
      </c>
      <c r="H36" s="32" t="s">
        <v>155</v>
      </c>
      <c r="I36" s="32" t="s">
        <v>155</v>
      </c>
      <c r="J36" s="32" t="s">
        <v>155</v>
      </c>
      <c r="K36" s="32">
        <v>44</v>
      </c>
    </row>
    <row r="37" spans="1:11" ht="15" customHeight="1" x14ac:dyDescent="0.3">
      <c r="A37" s="25" t="s">
        <v>159</v>
      </c>
      <c r="B37" s="35">
        <v>2314</v>
      </c>
      <c r="C37" s="35" t="s">
        <v>155</v>
      </c>
      <c r="D37" s="35" t="s">
        <v>155</v>
      </c>
      <c r="E37" s="35">
        <v>-245</v>
      </c>
      <c r="F37" s="35" t="s">
        <v>155</v>
      </c>
      <c r="G37" s="35" t="s">
        <v>155</v>
      </c>
      <c r="H37" s="35" t="s">
        <v>155</v>
      </c>
      <c r="I37" s="35" t="s">
        <v>155</v>
      </c>
      <c r="J37" s="35" t="s">
        <v>155</v>
      </c>
      <c r="K37" s="35">
        <v>2069</v>
      </c>
    </row>
    <row r="38" spans="1:11" ht="15" customHeight="1" x14ac:dyDescent="0.3">
      <c r="A38" s="27" t="s">
        <v>160</v>
      </c>
      <c r="B38" s="32">
        <v>780</v>
      </c>
      <c r="C38" s="32" t="s">
        <v>155</v>
      </c>
      <c r="D38" s="32" t="s">
        <v>155</v>
      </c>
      <c r="E38" s="32" t="s">
        <v>155</v>
      </c>
      <c r="F38" s="32" t="s">
        <v>155</v>
      </c>
      <c r="G38" s="32" t="s">
        <v>155</v>
      </c>
      <c r="H38" s="32">
        <v>10</v>
      </c>
      <c r="I38" s="32" t="s">
        <v>155</v>
      </c>
      <c r="J38" s="32" t="s">
        <v>155</v>
      </c>
      <c r="K38" s="32">
        <v>790</v>
      </c>
    </row>
    <row r="39" spans="1:11" ht="15" customHeight="1" x14ac:dyDescent="0.3">
      <c r="A39" s="25" t="s">
        <v>161</v>
      </c>
      <c r="B39" s="35">
        <v>445</v>
      </c>
      <c r="C39" s="35" t="s">
        <v>155</v>
      </c>
      <c r="D39" s="35" t="s">
        <v>155</v>
      </c>
      <c r="E39" s="35">
        <v>158</v>
      </c>
      <c r="F39" s="35" t="s">
        <v>155</v>
      </c>
      <c r="G39" s="35" t="s">
        <v>155</v>
      </c>
      <c r="H39" s="35" t="s">
        <v>155</v>
      </c>
      <c r="I39" s="35" t="s">
        <v>155</v>
      </c>
      <c r="J39" s="35" t="s">
        <v>155</v>
      </c>
      <c r="K39" s="35">
        <v>603</v>
      </c>
    </row>
    <row r="40" spans="1:11" ht="15" customHeight="1" x14ac:dyDescent="0.3">
      <c r="A40" s="27" t="s">
        <v>162</v>
      </c>
      <c r="B40" s="32">
        <v>99802</v>
      </c>
      <c r="C40" s="32" t="s">
        <v>155</v>
      </c>
      <c r="D40" s="32" t="s">
        <v>155</v>
      </c>
      <c r="E40" s="32" t="s">
        <v>155</v>
      </c>
      <c r="F40" s="32" t="s">
        <v>155</v>
      </c>
      <c r="G40" s="32">
        <v>22</v>
      </c>
      <c r="H40" s="32">
        <v>46</v>
      </c>
      <c r="I40" s="32">
        <v>-6766</v>
      </c>
      <c r="J40" s="32" t="s">
        <v>155</v>
      </c>
      <c r="K40" s="32">
        <v>93104</v>
      </c>
    </row>
    <row r="41" spans="1:11" ht="15" customHeight="1" x14ac:dyDescent="0.3">
      <c r="A41" s="25" t="s">
        <v>163</v>
      </c>
      <c r="B41" s="35">
        <v>292704</v>
      </c>
      <c r="C41" s="35" t="s">
        <v>155</v>
      </c>
      <c r="D41" s="35" t="s">
        <v>155</v>
      </c>
      <c r="E41" s="35" t="s">
        <v>155</v>
      </c>
      <c r="F41" s="35" t="s">
        <v>155</v>
      </c>
      <c r="G41" s="35" t="s">
        <v>155</v>
      </c>
      <c r="H41" s="35" t="s">
        <v>155</v>
      </c>
      <c r="I41" s="35" t="s">
        <v>155</v>
      </c>
      <c r="J41" s="35" t="s">
        <v>155</v>
      </c>
      <c r="K41" s="35">
        <v>292704</v>
      </c>
    </row>
    <row r="42" spans="1:11" ht="15" customHeight="1" x14ac:dyDescent="0.3">
      <c r="A42" s="27" t="s">
        <v>164</v>
      </c>
      <c r="B42" s="32">
        <v>339787</v>
      </c>
      <c r="C42" s="32">
        <v>69648</v>
      </c>
      <c r="D42" s="32">
        <v>-6766</v>
      </c>
      <c r="E42" s="32">
        <v>87</v>
      </c>
      <c r="F42" s="32" t="s">
        <v>155</v>
      </c>
      <c r="G42" s="32" t="s">
        <v>155</v>
      </c>
      <c r="H42" s="32" t="s">
        <v>155</v>
      </c>
      <c r="I42" s="32" t="s">
        <v>155</v>
      </c>
      <c r="J42" s="32">
        <v>-10813</v>
      </c>
      <c r="K42" s="32">
        <v>391943</v>
      </c>
    </row>
    <row r="43" spans="1:11" ht="15" customHeight="1" x14ac:dyDescent="0.3">
      <c r="A43" s="5" t="s">
        <v>125</v>
      </c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15" customHeight="1" x14ac:dyDescent="0.3">
      <c r="A44" s="25" t="s">
        <v>165</v>
      </c>
      <c r="B44" s="35">
        <v>-152</v>
      </c>
      <c r="C44" s="35">
        <v>-181</v>
      </c>
      <c r="D44" s="35" t="s">
        <v>155</v>
      </c>
      <c r="E44" s="35" t="s">
        <v>155</v>
      </c>
      <c r="F44" s="35" t="s">
        <v>155</v>
      </c>
      <c r="G44" s="35" t="s">
        <v>155</v>
      </c>
      <c r="H44" s="35" t="s">
        <v>155</v>
      </c>
      <c r="I44" s="35" t="s">
        <v>155</v>
      </c>
      <c r="J44" s="35" t="s">
        <v>155</v>
      </c>
      <c r="K44" s="35">
        <v>-333</v>
      </c>
    </row>
    <row r="45" spans="1:11" ht="15" customHeight="1" x14ac:dyDescent="0.3">
      <c r="A45" s="27" t="s">
        <v>166</v>
      </c>
      <c r="B45" s="32">
        <v>63182</v>
      </c>
      <c r="C45" s="32">
        <v>-2285</v>
      </c>
      <c r="D45" s="32" t="s">
        <v>155</v>
      </c>
      <c r="E45" s="32" t="s">
        <v>155</v>
      </c>
      <c r="F45" s="32" t="s">
        <v>155</v>
      </c>
      <c r="G45" s="32" t="s">
        <v>155</v>
      </c>
      <c r="H45" s="32" t="s">
        <v>155</v>
      </c>
      <c r="I45" s="32" t="s">
        <v>155</v>
      </c>
      <c r="J45" s="32" t="s">
        <v>155</v>
      </c>
      <c r="K45" s="32">
        <v>60897</v>
      </c>
    </row>
    <row r="46" spans="1:11" ht="15" customHeight="1" x14ac:dyDescent="0.3">
      <c r="A46" s="25" t="s">
        <v>167</v>
      </c>
      <c r="B46" s="35">
        <v>1505</v>
      </c>
      <c r="C46" s="35">
        <v>723</v>
      </c>
      <c r="D46" s="35" t="s">
        <v>155</v>
      </c>
      <c r="E46" s="35" t="s">
        <v>155</v>
      </c>
      <c r="F46" s="35" t="s">
        <v>155</v>
      </c>
      <c r="G46" s="35" t="s">
        <v>155</v>
      </c>
      <c r="H46" s="35" t="s">
        <v>155</v>
      </c>
      <c r="I46" s="35" t="s">
        <v>155</v>
      </c>
      <c r="J46" s="35" t="s">
        <v>155</v>
      </c>
      <c r="K46" s="35">
        <v>2228</v>
      </c>
    </row>
    <row r="47" spans="1:11" ht="15" customHeight="1" x14ac:dyDescent="0.3">
      <c r="A47" s="27" t="s">
        <v>168</v>
      </c>
      <c r="B47" s="32">
        <v>-13003</v>
      </c>
      <c r="C47" s="32">
        <v>-1096</v>
      </c>
      <c r="D47" s="32" t="s">
        <v>155</v>
      </c>
      <c r="E47" s="32" t="s">
        <v>155</v>
      </c>
      <c r="F47" s="32" t="s">
        <v>155</v>
      </c>
      <c r="G47" s="32" t="s">
        <v>155</v>
      </c>
      <c r="H47" s="32" t="s">
        <v>155</v>
      </c>
      <c r="I47" s="32" t="s">
        <v>155</v>
      </c>
      <c r="J47" s="32" t="s">
        <v>155</v>
      </c>
      <c r="K47" s="32">
        <v>-14099</v>
      </c>
    </row>
    <row r="48" spans="1:11" ht="15" customHeight="1" x14ac:dyDescent="0.3">
      <c r="A48" s="25" t="s">
        <v>169</v>
      </c>
      <c r="B48" s="35">
        <v>-973</v>
      </c>
      <c r="C48" s="35">
        <v>406</v>
      </c>
      <c r="D48" s="35" t="s">
        <v>155</v>
      </c>
      <c r="E48" s="35" t="s">
        <v>155</v>
      </c>
      <c r="F48" s="35" t="s">
        <v>155</v>
      </c>
      <c r="G48" s="35" t="s">
        <v>155</v>
      </c>
      <c r="H48" s="35" t="s">
        <v>155</v>
      </c>
      <c r="I48" s="35" t="s">
        <v>155</v>
      </c>
      <c r="J48" s="35">
        <v>5</v>
      </c>
      <c r="K48" s="35">
        <v>-562</v>
      </c>
    </row>
    <row r="49" spans="1:11" ht="15" customHeight="1" x14ac:dyDescent="0.3">
      <c r="A49" s="27" t="s">
        <v>78</v>
      </c>
      <c r="B49" s="32">
        <v>132307</v>
      </c>
      <c r="C49" s="32">
        <v>11658</v>
      </c>
      <c r="D49" s="32">
        <v>-414</v>
      </c>
      <c r="E49" s="32" t="s">
        <v>155</v>
      </c>
      <c r="F49" s="32" t="s">
        <v>155</v>
      </c>
      <c r="G49" s="32" t="s">
        <v>155</v>
      </c>
      <c r="H49" s="32" t="s">
        <v>155</v>
      </c>
      <c r="I49" s="32" t="s">
        <v>155</v>
      </c>
      <c r="J49" s="32">
        <v>22875</v>
      </c>
      <c r="K49" s="32">
        <v>166426</v>
      </c>
    </row>
    <row r="50" spans="1:11" ht="15.75" customHeight="1" x14ac:dyDescent="0.3">
      <c r="A50" s="40" t="s">
        <v>170</v>
      </c>
      <c r="B50" s="42">
        <f t="shared" ref="B50:K50" si="3">SUM(B35:B42,B44:B49)</f>
        <v>919022</v>
      </c>
      <c r="C50" s="42">
        <f t="shared" si="3"/>
        <v>78873</v>
      </c>
      <c r="D50" s="42">
        <f t="shared" si="3"/>
        <v>-7180</v>
      </c>
      <c r="E50" s="42">
        <f t="shared" si="3"/>
        <v>0</v>
      </c>
      <c r="F50" s="42">
        <f t="shared" si="3"/>
        <v>0</v>
      </c>
      <c r="G50" s="42">
        <f t="shared" si="3"/>
        <v>22</v>
      </c>
      <c r="H50" s="42">
        <f t="shared" si="3"/>
        <v>56</v>
      </c>
      <c r="I50" s="42">
        <f t="shared" si="3"/>
        <v>-6766</v>
      </c>
      <c r="J50" s="42">
        <f t="shared" si="3"/>
        <v>12067</v>
      </c>
      <c r="K50" s="42">
        <f t="shared" si="3"/>
        <v>996094</v>
      </c>
    </row>
    <row r="51" spans="1:11" ht="14.25" customHeight="1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 ht="15" customHeight="1" x14ac:dyDescent="0.3">
      <c r="A52" s="60" t="s">
        <v>177</v>
      </c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1:11" ht="14.25" customHeight="1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 ht="15" customHeight="1" x14ac:dyDescent="0.3">
      <c r="A54" s="16" t="s">
        <v>178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</row>
    <row r="55" spans="1:11" ht="14.25" customHeight="1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spans="1:11" ht="15" customHeight="1" x14ac:dyDescent="0.3">
      <c r="A56" s="18" t="s">
        <v>43</v>
      </c>
      <c r="B56" s="63" t="s">
        <v>179</v>
      </c>
      <c r="C56" s="63" t="s">
        <v>145</v>
      </c>
      <c r="D56" s="37" t="s">
        <v>146</v>
      </c>
      <c r="E56" s="63" t="s">
        <v>147</v>
      </c>
      <c r="F56" s="63" t="s">
        <v>148</v>
      </c>
      <c r="G56" s="63" t="s">
        <v>149</v>
      </c>
      <c r="H56" s="63" t="s">
        <v>150</v>
      </c>
      <c r="I56" s="63" t="s">
        <v>151</v>
      </c>
      <c r="J56" s="37" t="s">
        <v>152</v>
      </c>
      <c r="K56" s="63" t="s">
        <v>180</v>
      </c>
    </row>
    <row r="57" spans="1:11" ht="15" customHeight="1" x14ac:dyDescent="0.3">
      <c r="A57" s="16" t="s">
        <v>154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</row>
    <row r="58" spans="1:11" ht="15" customHeight="1" x14ac:dyDescent="0.3">
      <c r="A58" s="18" t="s">
        <v>76</v>
      </c>
      <c r="B58" s="36">
        <v>6766</v>
      </c>
      <c r="C58" s="37" t="s">
        <v>155</v>
      </c>
      <c r="D58" s="37" t="s">
        <v>155</v>
      </c>
      <c r="E58" s="37" t="s">
        <v>155</v>
      </c>
      <c r="F58" s="37" t="s">
        <v>155</v>
      </c>
      <c r="G58" s="37" t="s">
        <v>155</v>
      </c>
      <c r="H58" s="37" t="s">
        <v>155</v>
      </c>
      <c r="I58" s="37" t="s">
        <v>155</v>
      </c>
      <c r="J58" s="37" t="s">
        <v>155</v>
      </c>
      <c r="K58" s="37">
        <f>SUM(B58:J58)</f>
        <v>6766</v>
      </c>
    </row>
    <row r="59" spans="1:11" ht="15" customHeight="1" x14ac:dyDescent="0.3">
      <c r="A59" s="16" t="s">
        <v>156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</row>
    <row r="60" spans="1:11" ht="15" customHeight="1" x14ac:dyDescent="0.3">
      <c r="A60" s="18" t="s">
        <v>157</v>
      </c>
      <c r="B60" s="36">
        <v>280</v>
      </c>
      <c r="C60" s="36" t="s">
        <v>155</v>
      </c>
      <c r="D60" s="36" t="s">
        <v>155</v>
      </c>
      <c r="E60" s="36" t="s">
        <v>155</v>
      </c>
      <c r="F60" s="36" t="s">
        <v>155</v>
      </c>
      <c r="G60" s="36" t="s">
        <v>155</v>
      </c>
      <c r="H60" s="36" t="s">
        <v>155</v>
      </c>
      <c r="I60" s="36" t="s">
        <v>155</v>
      </c>
      <c r="J60" s="36" t="s">
        <v>155</v>
      </c>
      <c r="K60" s="37">
        <f t="shared" ref="K60:K69" si="4">SUM(B60:J60)</f>
        <v>280</v>
      </c>
    </row>
    <row r="61" spans="1:11" ht="15" customHeight="1" x14ac:dyDescent="0.3">
      <c r="A61" s="16" t="s">
        <v>158</v>
      </c>
      <c r="B61" s="33">
        <v>44</v>
      </c>
      <c r="C61" s="33" t="s">
        <v>155</v>
      </c>
      <c r="D61" s="33" t="s">
        <v>155</v>
      </c>
      <c r="E61" s="33" t="s">
        <v>155</v>
      </c>
      <c r="F61" s="33" t="s">
        <v>155</v>
      </c>
      <c r="G61" s="33" t="s">
        <v>155</v>
      </c>
      <c r="H61" s="33" t="s">
        <v>155</v>
      </c>
      <c r="I61" s="33" t="s">
        <v>155</v>
      </c>
      <c r="J61" s="33" t="s">
        <v>155</v>
      </c>
      <c r="K61" s="34">
        <f t="shared" si="4"/>
        <v>44</v>
      </c>
    </row>
    <row r="62" spans="1:11" ht="15" customHeight="1" x14ac:dyDescent="0.3">
      <c r="A62" s="18" t="s">
        <v>159</v>
      </c>
      <c r="B62" s="36">
        <v>2314</v>
      </c>
      <c r="C62" s="36" t="s">
        <v>155</v>
      </c>
      <c r="D62" s="36" t="s">
        <v>155</v>
      </c>
      <c r="E62" s="36" t="s">
        <v>155</v>
      </c>
      <c r="F62" s="36" t="s">
        <v>155</v>
      </c>
      <c r="G62" s="36" t="s">
        <v>155</v>
      </c>
      <c r="H62" s="36" t="s">
        <v>155</v>
      </c>
      <c r="I62" s="36" t="s">
        <v>155</v>
      </c>
      <c r="J62" s="36" t="s">
        <v>155</v>
      </c>
      <c r="K62" s="37">
        <f t="shared" si="4"/>
        <v>2314</v>
      </c>
    </row>
    <row r="63" spans="1:11" ht="15" customHeight="1" x14ac:dyDescent="0.3">
      <c r="A63" s="16" t="s">
        <v>160</v>
      </c>
      <c r="B63" s="33">
        <v>646</v>
      </c>
      <c r="C63" s="33" t="s">
        <v>155</v>
      </c>
      <c r="D63" s="33" t="s">
        <v>155</v>
      </c>
      <c r="E63" s="33" t="s">
        <v>155</v>
      </c>
      <c r="F63" s="33" t="s">
        <v>155</v>
      </c>
      <c r="G63" s="33" t="s">
        <v>155</v>
      </c>
      <c r="H63" s="33">
        <v>134</v>
      </c>
      <c r="I63" s="33" t="s">
        <v>155</v>
      </c>
      <c r="J63" s="33" t="s">
        <v>155</v>
      </c>
      <c r="K63" s="34">
        <f t="shared" si="4"/>
        <v>780</v>
      </c>
    </row>
    <row r="64" spans="1:11" ht="15" customHeight="1" x14ac:dyDescent="0.3">
      <c r="A64" s="18" t="s">
        <v>161</v>
      </c>
      <c r="B64" s="36">
        <v>445</v>
      </c>
      <c r="C64" s="36" t="s">
        <v>155</v>
      </c>
      <c r="D64" s="36" t="s">
        <v>155</v>
      </c>
      <c r="E64" s="36" t="s">
        <v>155</v>
      </c>
      <c r="F64" s="36" t="s">
        <v>155</v>
      </c>
      <c r="G64" s="36" t="s">
        <v>155</v>
      </c>
      <c r="H64" s="36" t="s">
        <v>155</v>
      </c>
      <c r="I64" s="36" t="s">
        <v>155</v>
      </c>
      <c r="J64" s="36" t="s">
        <v>155</v>
      </c>
      <c r="K64" s="37">
        <f t="shared" si="4"/>
        <v>445</v>
      </c>
    </row>
    <row r="65" spans="1:11" ht="15" customHeight="1" x14ac:dyDescent="0.3">
      <c r="A65" s="16" t="s">
        <v>162</v>
      </c>
      <c r="B65" s="33">
        <v>99792</v>
      </c>
      <c r="C65" s="33" t="s">
        <v>155</v>
      </c>
      <c r="D65" s="33" t="s">
        <v>155</v>
      </c>
      <c r="E65" s="33" t="s">
        <v>155</v>
      </c>
      <c r="F65" s="33" t="s">
        <v>155</v>
      </c>
      <c r="G65" s="33">
        <v>6</v>
      </c>
      <c r="H65" s="33">
        <v>4</v>
      </c>
      <c r="I65" s="33" t="s">
        <v>155</v>
      </c>
      <c r="J65" s="33" t="s">
        <v>155</v>
      </c>
      <c r="K65" s="34">
        <f t="shared" si="4"/>
        <v>99802</v>
      </c>
    </row>
    <row r="66" spans="1:11" ht="15" customHeight="1" x14ac:dyDescent="0.3">
      <c r="A66" s="18" t="s">
        <v>163</v>
      </c>
      <c r="B66" s="36">
        <v>262704</v>
      </c>
      <c r="C66" s="36" t="s">
        <v>155</v>
      </c>
      <c r="D66" s="36" t="s">
        <v>155</v>
      </c>
      <c r="E66" s="36" t="s">
        <v>155</v>
      </c>
      <c r="F66" s="36">
        <v>30000</v>
      </c>
      <c r="G66" s="36" t="s">
        <v>155</v>
      </c>
      <c r="H66" s="36" t="s">
        <v>155</v>
      </c>
      <c r="I66" s="36" t="s">
        <v>155</v>
      </c>
      <c r="J66" s="36" t="s">
        <v>155</v>
      </c>
      <c r="K66" s="37">
        <f t="shared" si="4"/>
        <v>292704</v>
      </c>
    </row>
    <row r="67" spans="1:11" ht="15" customHeight="1" x14ac:dyDescent="0.3">
      <c r="A67" s="16" t="s">
        <v>164</v>
      </c>
      <c r="B67" s="33">
        <v>295739</v>
      </c>
      <c r="C67" s="33">
        <v>69621</v>
      </c>
      <c r="D67" s="33">
        <v>-6089</v>
      </c>
      <c r="E67" s="33">
        <v>150</v>
      </c>
      <c r="F67" s="33">
        <v>-30000</v>
      </c>
      <c r="G67" s="33" t="s">
        <v>155</v>
      </c>
      <c r="H67" s="33" t="s">
        <v>155</v>
      </c>
      <c r="I67" s="33" t="s">
        <v>155</v>
      </c>
      <c r="J67" s="33">
        <v>10366</v>
      </c>
      <c r="K67" s="34">
        <f t="shared" si="4"/>
        <v>339787</v>
      </c>
    </row>
    <row r="68" spans="1:11" ht="15" customHeight="1" x14ac:dyDescent="0.3">
      <c r="A68" s="18" t="s">
        <v>181</v>
      </c>
      <c r="B68" s="36">
        <v>46992</v>
      </c>
      <c r="C68" s="36">
        <v>3567</v>
      </c>
      <c r="D68" s="37" t="s">
        <v>155</v>
      </c>
      <c r="E68" s="37" t="s">
        <v>155</v>
      </c>
      <c r="F68" s="37" t="s">
        <v>155</v>
      </c>
      <c r="G68" s="37" t="s">
        <v>155</v>
      </c>
      <c r="H68" s="37" t="s">
        <v>155</v>
      </c>
      <c r="I68" s="37" t="s">
        <v>155</v>
      </c>
      <c r="J68" s="37" t="s">
        <v>155</v>
      </c>
      <c r="K68" s="37">
        <f t="shared" si="4"/>
        <v>50559</v>
      </c>
    </row>
    <row r="69" spans="1:11" ht="15" customHeight="1" x14ac:dyDescent="0.3">
      <c r="A69" s="16" t="s">
        <v>78</v>
      </c>
      <c r="B69" s="33">
        <v>113009</v>
      </c>
      <c r="C69" s="33">
        <v>9501</v>
      </c>
      <c r="D69" s="33" t="s">
        <v>155</v>
      </c>
      <c r="E69" s="34" t="s">
        <v>155</v>
      </c>
      <c r="F69" s="34" t="s">
        <v>155</v>
      </c>
      <c r="G69" s="34" t="s">
        <v>155</v>
      </c>
      <c r="H69" s="34" t="s">
        <v>155</v>
      </c>
      <c r="I69" s="34" t="s">
        <v>155</v>
      </c>
      <c r="J69" s="33">
        <v>9797</v>
      </c>
      <c r="K69" s="34">
        <f t="shared" si="4"/>
        <v>132307</v>
      </c>
    </row>
    <row r="70" spans="1:11" ht="15.75" customHeight="1" x14ac:dyDescent="0.3">
      <c r="A70" s="51" t="s">
        <v>170</v>
      </c>
      <c r="B70" s="43">
        <f t="shared" ref="B70:K70" si="5">SUM(B60:B67,B68:B69)</f>
        <v>821965</v>
      </c>
      <c r="C70" s="43">
        <f t="shared" si="5"/>
        <v>82689</v>
      </c>
      <c r="D70" s="43">
        <f t="shared" si="5"/>
        <v>-6089</v>
      </c>
      <c r="E70" s="43">
        <f t="shared" si="5"/>
        <v>150</v>
      </c>
      <c r="F70" s="43">
        <f t="shared" si="5"/>
        <v>0</v>
      </c>
      <c r="G70" s="43">
        <f t="shared" si="5"/>
        <v>6</v>
      </c>
      <c r="H70" s="43">
        <f t="shared" si="5"/>
        <v>138</v>
      </c>
      <c r="I70" s="43">
        <f t="shared" si="5"/>
        <v>0</v>
      </c>
      <c r="J70" s="43">
        <f t="shared" si="5"/>
        <v>20163</v>
      </c>
      <c r="K70" s="43">
        <f t="shared" si="5"/>
        <v>919022</v>
      </c>
    </row>
  </sheetData>
  <mergeCells count="9">
    <mergeCell ref="A29:K29"/>
    <mergeCell ref="A32:K32"/>
    <mergeCell ref="A34:K34"/>
    <mergeCell ref="A43:K43"/>
    <mergeCell ref="A1:K1"/>
    <mergeCell ref="A2:K2"/>
    <mergeCell ref="A5:K5"/>
    <mergeCell ref="A7:K7"/>
    <mergeCell ref="A16:K1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3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" sqref="A5:D5"/>
    </sheetView>
  </sheetViews>
  <sheetFormatPr defaultColWidth="8.6640625" defaultRowHeight="14.4" x14ac:dyDescent="0.3"/>
  <cols>
    <col min="1" max="1" width="68" customWidth="1"/>
    <col min="2" max="5" width="14" customWidth="1"/>
  </cols>
  <sheetData>
    <row r="1" spans="1:6" ht="17.25" customHeight="1" x14ac:dyDescent="0.35">
      <c r="A1" s="7" t="s">
        <v>182</v>
      </c>
      <c r="B1" s="7"/>
      <c r="C1" s="7"/>
      <c r="D1" s="7"/>
      <c r="E1" s="30"/>
      <c r="F1" s="30"/>
    </row>
    <row r="2" spans="1:6" ht="15" customHeight="1" x14ac:dyDescent="0.3">
      <c r="A2" s="6" t="s">
        <v>95</v>
      </c>
      <c r="B2" s="6"/>
      <c r="C2" s="6"/>
      <c r="D2" s="6"/>
      <c r="E2" s="30"/>
      <c r="F2" s="30"/>
    </row>
    <row r="3" spans="1:6" ht="14.25" customHeight="1" x14ac:dyDescent="0.3">
      <c r="A3" s="30"/>
      <c r="B3" s="30"/>
      <c r="C3" s="30"/>
      <c r="D3" s="30"/>
      <c r="E3" s="30"/>
      <c r="F3" s="30"/>
    </row>
    <row r="4" spans="1:6" ht="21.75" customHeight="1" x14ac:dyDescent="0.3">
      <c r="A4" s="14" t="s">
        <v>43</v>
      </c>
      <c r="B4" s="14" t="s">
        <v>96</v>
      </c>
      <c r="C4" s="14" t="s">
        <v>97</v>
      </c>
      <c r="D4" s="14" t="s">
        <v>98</v>
      </c>
      <c r="E4" s="14" t="s">
        <v>99</v>
      </c>
      <c r="F4" s="30"/>
    </row>
    <row r="5" spans="1:6" ht="15" customHeight="1" x14ac:dyDescent="0.3">
      <c r="A5" s="5" t="s">
        <v>183</v>
      </c>
      <c r="B5" s="5"/>
      <c r="C5" s="5"/>
      <c r="D5" s="5"/>
      <c r="E5" s="31"/>
      <c r="F5" s="30"/>
    </row>
    <row r="6" spans="1:6" ht="15" customHeight="1" x14ac:dyDescent="0.3">
      <c r="A6" s="27" t="s">
        <v>184</v>
      </c>
      <c r="B6" s="32">
        <v>123162</v>
      </c>
      <c r="C6" s="32">
        <v>106017</v>
      </c>
      <c r="D6" s="32">
        <v>104340</v>
      </c>
      <c r="E6" s="33">
        <v>94022</v>
      </c>
      <c r="F6" s="30"/>
    </row>
    <row r="7" spans="1:6" ht="15" customHeight="1" x14ac:dyDescent="0.3">
      <c r="A7" s="25" t="s">
        <v>185</v>
      </c>
      <c r="B7" s="37"/>
      <c r="C7" s="37"/>
      <c r="D7" s="37"/>
      <c r="E7" s="37"/>
      <c r="F7" s="30"/>
    </row>
    <row r="8" spans="1:6" ht="15" customHeight="1" x14ac:dyDescent="0.3">
      <c r="A8" s="27" t="s">
        <v>186</v>
      </c>
      <c r="B8" s="32">
        <v>143</v>
      </c>
      <c r="C8" s="32">
        <v>135</v>
      </c>
      <c r="D8" s="32">
        <v>178</v>
      </c>
      <c r="E8" s="33">
        <v>-60</v>
      </c>
      <c r="F8" s="30"/>
    </row>
    <row r="9" spans="1:6" ht="15" customHeight="1" x14ac:dyDescent="0.3">
      <c r="A9" s="25" t="s">
        <v>187</v>
      </c>
      <c r="B9" s="35">
        <v>57688</v>
      </c>
      <c r="C9" s="35">
        <v>53136</v>
      </c>
      <c r="D9" s="35">
        <v>50832</v>
      </c>
      <c r="E9" s="36">
        <v>40303</v>
      </c>
      <c r="F9" s="30"/>
    </row>
    <row r="10" spans="1:6" ht="15" customHeight="1" x14ac:dyDescent="0.3">
      <c r="A10" s="27" t="s">
        <v>188</v>
      </c>
      <c r="B10" s="32">
        <v>6518</v>
      </c>
      <c r="C10" s="32">
        <v>-2182</v>
      </c>
      <c r="D10" s="32">
        <v>-1330</v>
      </c>
      <c r="E10" s="33">
        <v>-3680</v>
      </c>
      <c r="F10" s="30"/>
    </row>
    <row r="11" spans="1:6" ht="15" customHeight="1" x14ac:dyDescent="0.3">
      <c r="A11" s="25" t="s">
        <v>189</v>
      </c>
      <c r="B11" s="35">
        <v>-2946</v>
      </c>
      <c r="C11" s="35">
        <v>-1557</v>
      </c>
      <c r="D11" s="35">
        <v>-1921</v>
      </c>
      <c r="E11" s="36">
        <v>1214</v>
      </c>
      <c r="F11" s="30"/>
    </row>
    <row r="12" spans="1:6" ht="15" customHeight="1" x14ac:dyDescent="0.3">
      <c r="A12" s="27" t="s">
        <v>190</v>
      </c>
      <c r="B12" s="32">
        <v>-9100</v>
      </c>
      <c r="C12" s="32">
        <v>-504</v>
      </c>
      <c r="D12" s="32">
        <v>-89</v>
      </c>
      <c r="E12" s="33">
        <v>-38</v>
      </c>
      <c r="F12" s="30"/>
    </row>
    <row r="13" spans="1:6" ht="15" customHeight="1" x14ac:dyDescent="0.3">
      <c r="A13" s="25" t="s">
        <v>191</v>
      </c>
      <c r="B13" s="35">
        <v>-13302</v>
      </c>
      <c r="C13" s="35">
        <v>-12410</v>
      </c>
      <c r="D13" s="35">
        <v>-10745</v>
      </c>
      <c r="E13" s="36">
        <v>-11240</v>
      </c>
      <c r="F13" s="30"/>
    </row>
    <row r="14" spans="1:6" ht="15" customHeight="1" x14ac:dyDescent="0.3">
      <c r="A14" s="27" t="s">
        <v>192</v>
      </c>
      <c r="B14" s="32">
        <v>27061</v>
      </c>
      <c r="C14" s="32">
        <v>24269</v>
      </c>
      <c r="D14" s="32">
        <v>23118</v>
      </c>
      <c r="E14" s="33">
        <v>19571</v>
      </c>
      <c r="F14" s="30"/>
    </row>
    <row r="15" spans="1:6" ht="15" customHeight="1" x14ac:dyDescent="0.3">
      <c r="A15" s="25" t="s">
        <v>193</v>
      </c>
      <c r="B15" s="35">
        <f>SUM(B8:B14)</f>
        <v>66062</v>
      </c>
      <c r="C15" s="35">
        <f>SUM(C8:C14)</f>
        <v>60887</v>
      </c>
      <c r="D15" s="35">
        <f>SUM(D8:D14)</f>
        <v>60043</v>
      </c>
      <c r="E15" s="37">
        <f>SUM(E8:E14)</f>
        <v>46070</v>
      </c>
      <c r="F15" s="30"/>
    </row>
    <row r="16" spans="1:6" ht="15" customHeight="1" x14ac:dyDescent="0.3">
      <c r="A16" s="27" t="s">
        <v>194</v>
      </c>
      <c r="B16" s="32">
        <f>B6+B15</f>
        <v>189224</v>
      </c>
      <c r="C16" s="32">
        <f>C6+C15</f>
        <v>166904</v>
      </c>
      <c r="D16" s="32">
        <f>D6+D15</f>
        <v>164383</v>
      </c>
      <c r="E16" s="34">
        <f>E6+E15</f>
        <v>140092</v>
      </c>
      <c r="F16" s="30"/>
    </row>
    <row r="17" spans="1:6" ht="15" customHeight="1" x14ac:dyDescent="0.3">
      <c r="A17" s="25" t="s">
        <v>185</v>
      </c>
      <c r="B17" s="37"/>
      <c r="C17" s="37"/>
      <c r="D17" s="37"/>
      <c r="E17" s="37"/>
      <c r="F17" s="30"/>
    </row>
    <row r="18" spans="1:6" ht="15" customHeight="1" x14ac:dyDescent="0.3">
      <c r="A18" s="27" t="s">
        <v>195</v>
      </c>
      <c r="B18" s="32">
        <v>-53322</v>
      </c>
      <c r="C18" s="32">
        <v>-17837</v>
      </c>
      <c r="D18" s="32">
        <v>-15674</v>
      </c>
      <c r="E18" s="33">
        <v>13194</v>
      </c>
      <c r="F18" s="30"/>
    </row>
    <row r="19" spans="1:6" ht="15" customHeight="1" x14ac:dyDescent="0.3">
      <c r="A19" s="25" t="s">
        <v>196</v>
      </c>
      <c r="B19" s="35">
        <v>-20790</v>
      </c>
      <c r="C19" s="35">
        <v>3134</v>
      </c>
      <c r="D19" s="35">
        <v>-12756</v>
      </c>
      <c r="E19" s="36">
        <v>-32228</v>
      </c>
      <c r="F19" s="30"/>
    </row>
    <row r="20" spans="1:6" ht="15" customHeight="1" x14ac:dyDescent="0.3">
      <c r="A20" s="27" t="s">
        <v>197</v>
      </c>
      <c r="B20" s="32">
        <v>86609</v>
      </c>
      <c r="C20" s="32">
        <v>38427</v>
      </c>
      <c r="D20" s="32">
        <v>34796</v>
      </c>
      <c r="E20" s="33">
        <v>-600</v>
      </c>
      <c r="F20" s="30"/>
    </row>
    <row r="21" spans="1:6" ht="15" customHeight="1" x14ac:dyDescent="0.3">
      <c r="A21" s="25" t="s">
        <v>193</v>
      </c>
      <c r="B21" s="35">
        <f>SUM(B18:B20)</f>
        <v>12497</v>
      </c>
      <c r="C21" s="35">
        <f>SUM(C18:C20)</f>
        <v>23724</v>
      </c>
      <c r="D21" s="35">
        <f>SUM(D18:D20)</f>
        <v>6366</v>
      </c>
      <c r="E21" s="37">
        <f>SUM(E18:E20)</f>
        <v>-19634</v>
      </c>
      <c r="F21" s="30"/>
    </row>
    <row r="22" spans="1:6" ht="15.75" customHeight="1" x14ac:dyDescent="0.3">
      <c r="A22" s="40" t="s">
        <v>198</v>
      </c>
      <c r="B22" s="42">
        <f>B16+B21</f>
        <v>201721</v>
      </c>
      <c r="C22" s="42">
        <f>C16+C21</f>
        <v>190628</v>
      </c>
      <c r="D22" s="42">
        <f>D16+D21</f>
        <v>170749</v>
      </c>
      <c r="E22" s="43">
        <f>E16+E21</f>
        <v>120458</v>
      </c>
      <c r="F22" s="30"/>
    </row>
    <row r="23" spans="1:6" ht="15" customHeight="1" x14ac:dyDescent="0.3">
      <c r="A23" s="27" t="s">
        <v>199</v>
      </c>
      <c r="B23" s="32">
        <v>-9608</v>
      </c>
      <c r="C23" s="32">
        <v>-11925</v>
      </c>
      <c r="D23" s="32">
        <v>-11961</v>
      </c>
      <c r="E23" s="33">
        <v>-6297</v>
      </c>
      <c r="F23" s="30"/>
    </row>
    <row r="24" spans="1:6" ht="15.75" customHeight="1" x14ac:dyDescent="0.3">
      <c r="A24" s="40" t="s">
        <v>200</v>
      </c>
      <c r="B24" s="42">
        <f>B22+B23</f>
        <v>192113</v>
      </c>
      <c r="C24" s="42">
        <f>C22+C23</f>
        <v>178703</v>
      </c>
      <c r="D24" s="42">
        <f>D22+D23</f>
        <v>158788</v>
      </c>
      <c r="E24" s="43">
        <f>E22+E23</f>
        <v>114161</v>
      </c>
      <c r="F24" s="30"/>
    </row>
    <row r="25" spans="1:6" ht="14.25" customHeight="1" x14ac:dyDescent="0.3">
      <c r="A25" s="15"/>
      <c r="B25" s="15"/>
      <c r="C25" s="15"/>
      <c r="D25" s="15"/>
      <c r="E25" s="15"/>
      <c r="F25" s="30"/>
    </row>
    <row r="26" spans="1:6" ht="15" customHeight="1" x14ac:dyDescent="0.3">
      <c r="A26" s="5" t="s">
        <v>201</v>
      </c>
      <c r="B26" s="5"/>
      <c r="C26" s="5"/>
      <c r="D26" s="5"/>
      <c r="E26" s="31"/>
      <c r="F26" s="30"/>
    </row>
    <row r="27" spans="1:6" ht="15" customHeight="1" x14ac:dyDescent="0.3">
      <c r="A27" s="25" t="s">
        <v>202</v>
      </c>
      <c r="B27" s="35">
        <v>-122916</v>
      </c>
      <c r="C27" s="35">
        <v>-139967</v>
      </c>
      <c r="D27" s="35">
        <v>-152883</v>
      </c>
      <c r="E27" s="36">
        <v>-140988</v>
      </c>
      <c r="F27" s="30"/>
    </row>
    <row r="28" spans="1:6" ht="15" customHeight="1" x14ac:dyDescent="0.3">
      <c r="A28" s="27" t="s">
        <v>203</v>
      </c>
      <c r="B28" s="32">
        <v>826</v>
      </c>
      <c r="C28" s="32">
        <v>2343</v>
      </c>
      <c r="D28" s="32">
        <v>15307</v>
      </c>
      <c r="E28" s="33">
        <v>9186</v>
      </c>
      <c r="F28" s="30"/>
    </row>
    <row r="29" spans="1:6" ht="15" customHeight="1" x14ac:dyDescent="0.3">
      <c r="A29" s="25" t="s">
        <v>204</v>
      </c>
      <c r="B29" s="35">
        <v>-988777</v>
      </c>
      <c r="C29" s="35">
        <v>-684340</v>
      </c>
      <c r="D29" s="35">
        <v>-513660</v>
      </c>
      <c r="E29" s="36">
        <v>-471822</v>
      </c>
      <c r="F29" s="30"/>
    </row>
    <row r="30" spans="1:6" ht="15" customHeight="1" x14ac:dyDescent="0.3">
      <c r="A30" s="27" t="s">
        <v>205</v>
      </c>
      <c r="B30" s="32">
        <v>991876</v>
      </c>
      <c r="C30" s="32">
        <v>672558</v>
      </c>
      <c r="D30" s="32">
        <v>531355</v>
      </c>
      <c r="E30" s="33">
        <v>501266</v>
      </c>
      <c r="F30" s="30"/>
    </row>
    <row r="31" spans="1:6" ht="15" customHeight="1" x14ac:dyDescent="0.3">
      <c r="A31" s="25" t="s">
        <v>206</v>
      </c>
      <c r="B31" s="35">
        <v>-4736</v>
      </c>
      <c r="C31" s="35">
        <v>-4574</v>
      </c>
      <c r="D31" s="35">
        <v>-4423</v>
      </c>
      <c r="E31" s="36">
        <v>0</v>
      </c>
      <c r="F31" s="30"/>
    </row>
    <row r="32" spans="1:6" ht="15" customHeight="1" x14ac:dyDescent="0.3">
      <c r="A32" s="27" t="s">
        <v>207</v>
      </c>
      <c r="B32" s="32">
        <v>13538</v>
      </c>
      <c r="C32" s="32">
        <v>15833</v>
      </c>
      <c r="D32" s="32">
        <v>10648</v>
      </c>
      <c r="E32" s="33">
        <v>11103</v>
      </c>
      <c r="F32" s="30"/>
    </row>
    <row r="33" spans="1:6" ht="15" customHeight="1" x14ac:dyDescent="0.3">
      <c r="A33" s="25" t="s">
        <v>208</v>
      </c>
      <c r="B33" s="35">
        <v>49</v>
      </c>
      <c r="C33" s="35">
        <v>49</v>
      </c>
      <c r="D33" s="35">
        <v>59</v>
      </c>
      <c r="E33" s="36">
        <v>17</v>
      </c>
      <c r="F33" s="30"/>
    </row>
    <row r="34" spans="1:6" ht="15" customHeight="1" x14ac:dyDescent="0.3">
      <c r="A34" s="27" t="s">
        <v>209</v>
      </c>
      <c r="B34" s="32">
        <v>9051</v>
      </c>
      <c r="C34" s="32">
        <v>563</v>
      </c>
      <c r="D34" s="32">
        <v>16</v>
      </c>
      <c r="E34" s="33">
        <v>3</v>
      </c>
      <c r="F34" s="30"/>
    </row>
    <row r="35" spans="1:6" ht="15.75" customHeight="1" x14ac:dyDescent="0.3">
      <c r="A35" s="40" t="s">
        <v>210</v>
      </c>
      <c r="B35" s="42">
        <f>SUM(B27:B34)</f>
        <v>-101089</v>
      </c>
      <c r="C35" s="42">
        <f>SUM(C27:C34)</f>
        <v>-137535</v>
      </c>
      <c r="D35" s="42">
        <f>SUM(D27:D34)</f>
        <v>-113581</v>
      </c>
      <c r="E35" s="43">
        <f>SUM(E27:E34)</f>
        <v>-91235</v>
      </c>
      <c r="F35" s="30"/>
    </row>
    <row r="36" spans="1:6" ht="14.25" customHeight="1" x14ac:dyDescent="0.3">
      <c r="A36" s="15"/>
      <c r="B36" s="15"/>
      <c r="C36" s="15"/>
      <c r="D36" s="15"/>
      <c r="E36" s="15"/>
      <c r="F36" s="30"/>
    </row>
    <row r="37" spans="1:6" ht="15" customHeight="1" x14ac:dyDescent="0.3">
      <c r="A37" s="5" t="s">
        <v>211</v>
      </c>
      <c r="B37" s="5"/>
      <c r="C37" s="5"/>
      <c r="D37" s="5"/>
      <c r="E37" s="31"/>
      <c r="F37" s="30"/>
    </row>
    <row r="38" spans="1:6" ht="15" customHeight="1" x14ac:dyDescent="0.3">
      <c r="A38" s="18" t="s">
        <v>212</v>
      </c>
      <c r="B38" s="35" t="s">
        <v>155</v>
      </c>
      <c r="C38" s="35" t="s">
        <v>155</v>
      </c>
      <c r="D38" s="35">
        <v>20915</v>
      </c>
      <c r="E38" s="36">
        <v>479</v>
      </c>
      <c r="F38" s="30"/>
    </row>
    <row r="39" spans="1:6" ht="15" customHeight="1" x14ac:dyDescent="0.3">
      <c r="A39" s="27" t="s">
        <v>213</v>
      </c>
      <c r="B39" s="32" t="s">
        <v>155</v>
      </c>
      <c r="C39" s="32" t="s">
        <v>155</v>
      </c>
      <c r="D39" s="32" t="s">
        <v>155</v>
      </c>
      <c r="E39" s="33">
        <v>0</v>
      </c>
      <c r="F39" s="30"/>
    </row>
    <row r="40" spans="1:6" ht="15" customHeight="1" x14ac:dyDescent="0.3">
      <c r="A40" s="25" t="s">
        <v>214</v>
      </c>
      <c r="B40" s="35" t="s">
        <v>155</v>
      </c>
      <c r="C40" s="35">
        <v>22</v>
      </c>
      <c r="D40" s="35">
        <v>7</v>
      </c>
      <c r="E40" s="36">
        <v>40</v>
      </c>
      <c r="F40" s="30"/>
    </row>
    <row r="41" spans="1:6" ht="15" customHeight="1" x14ac:dyDescent="0.3">
      <c r="A41" s="16" t="s">
        <v>215</v>
      </c>
      <c r="B41" s="32" t="s">
        <v>155</v>
      </c>
      <c r="C41" s="32" t="s">
        <v>155</v>
      </c>
      <c r="D41" s="32">
        <v>-1085</v>
      </c>
      <c r="E41" s="33">
        <v>0</v>
      </c>
      <c r="F41" s="30"/>
    </row>
    <row r="42" spans="1:6" ht="15" customHeight="1" x14ac:dyDescent="0.3">
      <c r="A42" s="25" t="s">
        <v>216</v>
      </c>
      <c r="B42" s="35">
        <v>-6508</v>
      </c>
      <c r="C42" s="35">
        <v>-2956</v>
      </c>
      <c r="D42" s="35">
        <v>-2483</v>
      </c>
      <c r="E42" s="36">
        <v>-1406</v>
      </c>
      <c r="F42" s="30"/>
    </row>
    <row r="43" spans="1:6" ht="15" customHeight="1" x14ac:dyDescent="0.3">
      <c r="A43" s="27" t="s">
        <v>217</v>
      </c>
      <c r="B43" s="32">
        <v>38871</v>
      </c>
      <c r="C43" s="32">
        <v>26378</v>
      </c>
      <c r="D43" s="32">
        <v>69610</v>
      </c>
      <c r="E43" s="33">
        <v>35936</v>
      </c>
      <c r="F43" s="30"/>
    </row>
    <row r="44" spans="1:6" ht="15" customHeight="1" x14ac:dyDescent="0.3">
      <c r="A44" s="25" t="s">
        <v>218</v>
      </c>
      <c r="B44" s="35">
        <v>-30881</v>
      </c>
      <c r="C44" s="35">
        <v>-31755</v>
      </c>
      <c r="D44" s="35">
        <v>-35055</v>
      </c>
      <c r="E44" s="36">
        <v>-29059</v>
      </c>
      <c r="F44" s="30"/>
    </row>
    <row r="45" spans="1:6" ht="15" customHeight="1" x14ac:dyDescent="0.3">
      <c r="A45" s="27" t="s">
        <v>219</v>
      </c>
      <c r="B45" s="32">
        <v>-5171</v>
      </c>
      <c r="C45" s="32">
        <v>24624</v>
      </c>
      <c r="D45" s="32">
        <v>-25293</v>
      </c>
      <c r="E45" s="33">
        <v>31198</v>
      </c>
      <c r="F45" s="30"/>
    </row>
    <row r="46" spans="1:6" ht="15" customHeight="1" x14ac:dyDescent="0.3">
      <c r="A46" s="25" t="s">
        <v>220</v>
      </c>
      <c r="B46" s="35">
        <v>-7443</v>
      </c>
      <c r="C46" s="35">
        <v>-6766</v>
      </c>
      <c r="D46" s="35">
        <v>-6089</v>
      </c>
      <c r="E46" s="36">
        <v>-5083</v>
      </c>
      <c r="F46" s="30"/>
    </row>
    <row r="47" spans="1:6" ht="15" customHeight="1" x14ac:dyDescent="0.3">
      <c r="A47" s="27" t="s">
        <v>221</v>
      </c>
      <c r="B47" s="32">
        <v>-436</v>
      </c>
      <c r="C47" s="32">
        <v>-414</v>
      </c>
      <c r="D47" s="32" t="s">
        <v>155</v>
      </c>
      <c r="E47" s="33">
        <v>0</v>
      </c>
      <c r="F47" s="30"/>
    </row>
    <row r="48" spans="1:6" ht="15" customHeight="1" x14ac:dyDescent="0.3">
      <c r="A48" s="25" t="s">
        <v>222</v>
      </c>
      <c r="B48" s="35">
        <v>-39981</v>
      </c>
      <c r="C48" s="35">
        <v>-41024</v>
      </c>
      <c r="D48" s="35">
        <v>-37173</v>
      </c>
      <c r="E48" s="36">
        <v>-21650</v>
      </c>
      <c r="F48" s="30"/>
    </row>
    <row r="49" spans="1:6" ht="15.75" customHeight="1" x14ac:dyDescent="0.3">
      <c r="A49" s="40" t="s">
        <v>223</v>
      </c>
      <c r="B49" s="42">
        <f>SUM(B38:B48)</f>
        <v>-51549</v>
      </c>
      <c r="C49" s="42">
        <f>SUM(C38:C48)</f>
        <v>-31891</v>
      </c>
      <c r="D49" s="42">
        <f>SUM(D38:D48)</f>
        <v>-16646</v>
      </c>
      <c r="E49" s="43">
        <f>SUM(E38:E48)</f>
        <v>10455</v>
      </c>
      <c r="F49" s="30"/>
    </row>
    <row r="50" spans="1:6" ht="14.25" customHeight="1" x14ac:dyDescent="0.3">
      <c r="A50" s="15"/>
      <c r="B50" s="15"/>
      <c r="C50" s="15"/>
      <c r="D50" s="15"/>
      <c r="E50" s="15"/>
      <c r="F50" s="30"/>
    </row>
    <row r="51" spans="1:6" ht="15.75" customHeight="1" x14ac:dyDescent="0.3">
      <c r="A51" s="40" t="s">
        <v>224</v>
      </c>
      <c r="B51" s="42">
        <f>B24+B35+B49</f>
        <v>39475</v>
      </c>
      <c r="C51" s="42">
        <f>C24+C35+C49</f>
        <v>9277</v>
      </c>
      <c r="D51" s="42">
        <f>D24+D35+D49</f>
        <v>28561</v>
      </c>
      <c r="E51" s="43">
        <f>E24+E35+E49</f>
        <v>33381</v>
      </c>
      <c r="F51" s="30"/>
    </row>
    <row r="52" spans="1:6" ht="15" customHeight="1" x14ac:dyDescent="0.3">
      <c r="A52" s="27" t="s">
        <v>225</v>
      </c>
      <c r="B52" s="32">
        <f>'Balance Sheet'!D27</f>
        <v>106502</v>
      </c>
      <c r="C52" s="32">
        <f>'Balance Sheet'!E27</f>
        <v>97225</v>
      </c>
      <c r="D52" s="64">
        <f>E53</f>
        <v>69559</v>
      </c>
      <c r="E52" s="33">
        <v>36178</v>
      </c>
      <c r="F52" s="30"/>
    </row>
    <row r="53" spans="1:6" ht="15.75" customHeight="1" x14ac:dyDescent="0.3">
      <c r="A53" s="40" t="s">
        <v>226</v>
      </c>
      <c r="B53" s="42">
        <f>B51+B52</f>
        <v>145977</v>
      </c>
      <c r="C53" s="42">
        <f>C51+C52</f>
        <v>106502</v>
      </c>
      <c r="D53" s="42">
        <f>D51+D52</f>
        <v>98120</v>
      </c>
      <c r="E53" s="43">
        <f>E51+E52</f>
        <v>69559</v>
      </c>
      <c r="F53" s="30"/>
    </row>
    <row r="54" spans="1:6" ht="14.25" customHeight="1" x14ac:dyDescent="0.3">
      <c r="A54" s="15"/>
      <c r="B54" s="15"/>
      <c r="C54" s="15"/>
      <c r="D54" s="15"/>
      <c r="E54" s="15"/>
      <c r="F54" s="30"/>
    </row>
    <row r="55" spans="1:6" ht="15" customHeight="1" x14ac:dyDescent="0.3">
      <c r="A55" s="28" t="s">
        <v>227</v>
      </c>
      <c r="B55" s="28"/>
      <c r="C55" s="28"/>
      <c r="D55" s="28"/>
      <c r="E55" s="28"/>
      <c r="F55" s="30"/>
    </row>
    <row r="56" spans="1:6" ht="15" customHeight="1" x14ac:dyDescent="0.3">
      <c r="A56" s="60" t="s">
        <v>228</v>
      </c>
      <c r="B56" s="37"/>
      <c r="C56" s="37"/>
      <c r="D56" s="37"/>
      <c r="E56" s="37"/>
      <c r="F56" s="30"/>
    </row>
    <row r="57" spans="1:6" ht="14.25" customHeight="1" x14ac:dyDescent="0.3">
      <c r="A57" s="15"/>
      <c r="B57" s="15"/>
      <c r="C57" s="15"/>
      <c r="D57" s="15"/>
      <c r="E57" s="15"/>
      <c r="F57" s="30"/>
    </row>
    <row r="58" spans="1:6" ht="15" customHeight="1" x14ac:dyDescent="0.3">
      <c r="A58" s="3" t="s">
        <v>229</v>
      </c>
      <c r="B58" s="3"/>
      <c r="C58" s="3"/>
      <c r="D58" s="3"/>
      <c r="E58" s="34"/>
      <c r="F58" s="30"/>
    </row>
    <row r="59" spans="1:6" ht="15" customHeight="1" x14ac:dyDescent="0.3">
      <c r="A59" s="65" t="s">
        <v>43</v>
      </c>
      <c r="B59" s="66" t="s">
        <v>230</v>
      </c>
      <c r="C59" s="66" t="s">
        <v>231</v>
      </c>
      <c r="D59" s="66" t="s">
        <v>232</v>
      </c>
      <c r="E59" s="66" t="s">
        <v>45</v>
      </c>
      <c r="F59" s="67"/>
    </row>
    <row r="60" spans="1:6" ht="15" customHeight="1" x14ac:dyDescent="0.3">
      <c r="A60" s="27" t="s">
        <v>233</v>
      </c>
      <c r="B60" s="32">
        <v>266222</v>
      </c>
      <c r="C60" s="32">
        <v>7990</v>
      </c>
      <c r="D60" s="32">
        <v>22504</v>
      </c>
      <c r="E60" s="32">
        <v>296716</v>
      </c>
      <c r="F60" s="68"/>
    </row>
    <row r="61" spans="1:6" ht="15" customHeight="1" x14ac:dyDescent="0.3">
      <c r="A61" s="25" t="s">
        <v>234</v>
      </c>
      <c r="B61" s="35">
        <v>81308</v>
      </c>
      <c r="C61" s="35">
        <v>-5171</v>
      </c>
      <c r="D61" s="35">
        <v>1568</v>
      </c>
      <c r="E61" s="35">
        <v>77705</v>
      </c>
      <c r="F61" s="68"/>
    </row>
    <row r="62" spans="1:6" ht="15.75" customHeight="1" x14ac:dyDescent="0.3">
      <c r="A62" s="40" t="s">
        <v>170</v>
      </c>
      <c r="B62" s="42">
        <f>SUM(B60:B61)</f>
        <v>347530</v>
      </c>
      <c r="C62" s="42">
        <f>SUM(C60:C61)</f>
        <v>2819</v>
      </c>
      <c r="D62" s="42">
        <f>SUM(D60:D61)</f>
        <v>24072</v>
      </c>
      <c r="E62" s="42">
        <f>SUM(E60:E61)</f>
        <v>374421</v>
      </c>
      <c r="F62" s="69"/>
    </row>
    <row r="63" spans="1:6" ht="14.25" customHeight="1" x14ac:dyDescent="0.3">
      <c r="A63" s="15"/>
      <c r="B63" s="15"/>
      <c r="C63" s="15"/>
      <c r="D63" s="15"/>
      <c r="E63" s="15"/>
      <c r="F63" s="30"/>
    </row>
    <row r="64" spans="1:6" ht="15" customHeight="1" x14ac:dyDescent="0.3">
      <c r="A64" s="3" t="s">
        <v>235</v>
      </c>
      <c r="B64" s="3"/>
      <c r="C64" s="3"/>
      <c r="D64" s="3"/>
      <c r="E64" s="34"/>
      <c r="F64" s="30"/>
    </row>
    <row r="65" spans="1:6" ht="15" customHeight="1" x14ac:dyDescent="0.3">
      <c r="A65" s="65" t="s">
        <v>43</v>
      </c>
      <c r="B65" s="66" t="s">
        <v>236</v>
      </c>
      <c r="C65" s="66" t="s">
        <v>231</v>
      </c>
      <c r="D65" s="66" t="s">
        <v>232</v>
      </c>
      <c r="E65" s="66" t="s">
        <v>46</v>
      </c>
      <c r="F65" s="67"/>
    </row>
    <row r="66" spans="1:6" ht="15" customHeight="1" x14ac:dyDescent="0.3">
      <c r="A66" s="27" t="s">
        <v>233</v>
      </c>
      <c r="B66" s="32">
        <v>267980</v>
      </c>
      <c r="C66" s="32">
        <v>-5377</v>
      </c>
      <c r="D66" s="32">
        <v>3619</v>
      </c>
      <c r="E66" s="32">
        <v>266222</v>
      </c>
      <c r="F66" s="68"/>
    </row>
    <row r="67" spans="1:6" ht="15" customHeight="1" x14ac:dyDescent="0.3">
      <c r="A67" s="25" t="s">
        <v>234</v>
      </c>
      <c r="B67" s="35">
        <v>56642</v>
      </c>
      <c r="C67" s="35">
        <v>24624</v>
      </c>
      <c r="D67" s="35">
        <v>42</v>
      </c>
      <c r="E67" s="35">
        <v>81308</v>
      </c>
      <c r="F67" s="68"/>
    </row>
    <row r="68" spans="1:6" ht="15.75" customHeight="1" x14ac:dyDescent="0.3">
      <c r="A68" s="40" t="s">
        <v>170</v>
      </c>
      <c r="B68" s="42">
        <f>SUM(B66:B67)</f>
        <v>324622</v>
      </c>
      <c r="C68" s="42">
        <f>SUM(C66:C67)</f>
        <v>19247</v>
      </c>
      <c r="D68" s="42">
        <f>SUM(D66:D67)</f>
        <v>3661</v>
      </c>
      <c r="E68" s="42">
        <f>SUM(E66:E67)</f>
        <v>347530</v>
      </c>
      <c r="F68" s="69"/>
    </row>
    <row r="69" spans="1:6" ht="15" customHeight="1" x14ac:dyDescent="0.3">
      <c r="A69" s="3" t="s">
        <v>237</v>
      </c>
      <c r="B69" s="3"/>
      <c r="C69" s="3"/>
      <c r="D69" s="3"/>
      <c r="E69" s="34"/>
      <c r="F69" s="30"/>
    </row>
    <row r="70" spans="1:6" ht="15" customHeight="1" x14ac:dyDescent="0.3">
      <c r="A70" s="65" t="s">
        <v>43</v>
      </c>
      <c r="B70" s="66" t="s">
        <v>238</v>
      </c>
      <c r="C70" s="66" t="s">
        <v>231</v>
      </c>
      <c r="D70" s="66" t="s">
        <v>232</v>
      </c>
      <c r="E70" s="66" t="s">
        <v>47</v>
      </c>
      <c r="F70" s="30"/>
    </row>
    <row r="71" spans="1:6" ht="15" customHeight="1" x14ac:dyDescent="0.3">
      <c r="A71" s="27" t="s">
        <v>233</v>
      </c>
      <c r="B71" s="32">
        <v>231708</v>
      </c>
      <c r="C71" s="32">
        <v>34555</v>
      </c>
      <c r="D71" s="32">
        <v>1717</v>
      </c>
      <c r="E71" s="32">
        <v>267980</v>
      </c>
      <c r="F71" s="30"/>
    </row>
    <row r="72" spans="1:6" ht="15" customHeight="1" x14ac:dyDescent="0.3">
      <c r="A72" s="25" t="s">
        <v>234</v>
      </c>
      <c r="B72" s="35">
        <v>82258</v>
      </c>
      <c r="C72" s="35">
        <v>-25293</v>
      </c>
      <c r="D72" s="35">
        <v>-323</v>
      </c>
      <c r="E72" s="35">
        <v>56642</v>
      </c>
      <c r="F72" s="30"/>
    </row>
    <row r="73" spans="1:6" ht="15.75" customHeight="1" x14ac:dyDescent="0.3">
      <c r="A73" s="40" t="s">
        <v>170</v>
      </c>
      <c r="B73" s="42">
        <f>SUM(B71:B72)</f>
        <v>313966</v>
      </c>
      <c r="C73" s="42">
        <f>SUM(C71:C72)</f>
        <v>9262</v>
      </c>
      <c r="D73" s="42">
        <f>SUM(D71:D72)</f>
        <v>1394</v>
      </c>
      <c r="E73" s="42">
        <f>SUM(E71:E72)</f>
        <v>324622</v>
      </c>
      <c r="F73" s="30"/>
    </row>
    <row r="74" spans="1:6" ht="15" customHeight="1" x14ac:dyDescent="0.3">
      <c r="A74" s="15"/>
      <c r="B74" s="15"/>
      <c r="C74" s="15"/>
      <c r="D74" s="15"/>
      <c r="E74" s="15"/>
      <c r="F74" s="30"/>
    </row>
    <row r="75" spans="1:6" ht="15" customHeight="1" x14ac:dyDescent="0.3">
      <c r="A75" s="16" t="s">
        <v>239</v>
      </c>
      <c r="B75" s="34"/>
      <c r="C75" s="34"/>
      <c r="D75" s="34"/>
      <c r="E75" s="34"/>
      <c r="F75" s="30"/>
    </row>
    <row r="76" spans="1:6" ht="15" customHeight="1" x14ac:dyDescent="0.3">
      <c r="A76" s="18" t="s">
        <v>43</v>
      </c>
      <c r="B76" s="37" t="s">
        <v>240</v>
      </c>
      <c r="C76" s="37" t="s">
        <v>231</v>
      </c>
      <c r="D76" s="63" t="s">
        <v>232</v>
      </c>
      <c r="E76" s="37"/>
      <c r="F76" s="30"/>
    </row>
    <row r="77" spans="1:6" ht="15" customHeight="1" x14ac:dyDescent="0.3">
      <c r="A77" s="16" t="s">
        <v>233</v>
      </c>
      <c r="B77" s="33">
        <v>214719</v>
      </c>
      <c r="C77" s="33">
        <v>6877</v>
      </c>
      <c r="D77" s="33">
        <v>10112</v>
      </c>
      <c r="E77" s="34"/>
      <c r="F77" s="30"/>
    </row>
    <row r="78" spans="1:6" ht="15" customHeight="1" x14ac:dyDescent="0.3">
      <c r="A78" s="39" t="s">
        <v>241</v>
      </c>
      <c r="B78" s="70">
        <v>51586</v>
      </c>
      <c r="C78" s="70">
        <v>31198</v>
      </c>
      <c r="D78" s="70">
        <v>-526</v>
      </c>
      <c r="E78" s="31"/>
      <c r="F78" s="30"/>
    </row>
    <row r="79" spans="1:6" ht="15" customHeight="1" x14ac:dyDescent="0.3">
      <c r="A79" s="71" t="s">
        <v>43</v>
      </c>
      <c r="B79" s="72" t="s">
        <v>230</v>
      </c>
      <c r="C79" s="72" t="s">
        <v>231</v>
      </c>
      <c r="D79" s="72" t="s">
        <v>232</v>
      </c>
      <c r="E79" s="66" t="s">
        <v>45</v>
      </c>
      <c r="F79" s="67"/>
    </row>
    <row r="80" spans="1:6" ht="15" customHeight="1" x14ac:dyDescent="0.3">
      <c r="A80" s="27" t="s">
        <v>242</v>
      </c>
      <c r="B80" s="32">
        <v>92223</v>
      </c>
      <c r="C80" s="32">
        <v>-53969</v>
      </c>
      <c r="D80" s="32">
        <v>8867</v>
      </c>
      <c r="E80" s="32">
        <v>47121</v>
      </c>
      <c r="F80" s="68"/>
    </row>
    <row r="81" spans="1:6" ht="15" customHeight="1" x14ac:dyDescent="0.3">
      <c r="A81" s="25" t="s">
        <v>243</v>
      </c>
      <c r="B81" s="35">
        <v>11493</v>
      </c>
      <c r="C81" s="35">
        <v>17198</v>
      </c>
      <c r="D81" s="35">
        <v>565</v>
      </c>
      <c r="E81" s="35">
        <v>29256</v>
      </c>
      <c r="F81" s="68"/>
    </row>
    <row r="82" spans="1:6" ht="15.75" customHeight="1" x14ac:dyDescent="0.3">
      <c r="A82" s="51" t="s">
        <v>170</v>
      </c>
      <c r="B82" s="59">
        <f>SUM(B80:B81)</f>
        <v>103716</v>
      </c>
      <c r="C82" s="59">
        <f>SUM(C80:C81)</f>
        <v>-36771</v>
      </c>
      <c r="D82" s="59">
        <f>SUM(D80:D81)</f>
        <v>9432</v>
      </c>
      <c r="E82" s="59">
        <f>SUM(E80:E81)</f>
        <v>76377</v>
      </c>
      <c r="F82" s="69"/>
    </row>
    <row r="83" spans="1:6" ht="14.25" customHeight="1" x14ac:dyDescent="0.3">
      <c r="A83" s="15"/>
      <c r="B83" s="15"/>
      <c r="C83" s="15"/>
      <c r="D83" s="15"/>
      <c r="E83" s="15"/>
    </row>
    <row r="84" spans="1:6" ht="15" customHeight="1" x14ac:dyDescent="0.3">
      <c r="A84" s="52" t="s">
        <v>244</v>
      </c>
      <c r="B84" s="34"/>
      <c r="C84" s="34"/>
      <c r="D84" s="34"/>
      <c r="E84" s="34"/>
    </row>
    <row r="85" spans="1:6" ht="14.25" customHeight="1" x14ac:dyDescent="0.3">
      <c r="A85" s="15"/>
      <c r="B85" s="15"/>
      <c r="C85" s="15"/>
      <c r="D85" s="15"/>
      <c r="E85" s="15"/>
    </row>
    <row r="86" spans="1:6" ht="15" customHeight="1" x14ac:dyDescent="0.3">
      <c r="A86" s="18" t="s">
        <v>239</v>
      </c>
      <c r="B86" s="37"/>
      <c r="C86" s="37"/>
      <c r="D86" s="37"/>
      <c r="E86" s="37"/>
    </row>
    <row r="87" spans="1:6" ht="15" customHeight="1" x14ac:dyDescent="0.3">
      <c r="A87" s="16" t="s">
        <v>43</v>
      </c>
      <c r="B87" s="34" t="s">
        <v>240</v>
      </c>
      <c r="C87" s="34" t="s">
        <v>231</v>
      </c>
      <c r="D87" s="73" t="s">
        <v>232</v>
      </c>
      <c r="E87" s="34"/>
    </row>
    <row r="88" spans="1:6" ht="15" customHeight="1" x14ac:dyDescent="0.3">
      <c r="A88" s="18" t="s">
        <v>233</v>
      </c>
      <c r="B88" s="36">
        <v>214719</v>
      </c>
      <c r="C88" s="36">
        <v>6877</v>
      </c>
      <c r="D88" s="36">
        <v>10112</v>
      </c>
      <c r="E88" s="37"/>
    </row>
    <row r="89" spans="1:6" ht="15" customHeight="1" x14ac:dyDescent="0.3">
      <c r="A89" s="16" t="s">
        <v>234</v>
      </c>
      <c r="B89" s="33">
        <v>51586</v>
      </c>
      <c r="C89" s="33">
        <v>31198</v>
      </c>
      <c r="D89" s="33">
        <v>-526</v>
      </c>
      <c r="E89" s="34"/>
    </row>
    <row r="90" spans="1:6" ht="15.75" customHeight="1" x14ac:dyDescent="0.3">
      <c r="A90" s="51" t="s">
        <v>170</v>
      </c>
      <c r="B90" s="43">
        <f>SUM(B88:B89)</f>
        <v>266305</v>
      </c>
      <c r="C90" s="43">
        <f>SUM(C88:C89)</f>
        <v>38075</v>
      </c>
      <c r="D90" s="43">
        <f>SUM(D88:D89)</f>
        <v>9586</v>
      </c>
      <c r="E90" s="43"/>
    </row>
    <row r="91" spans="1:6" ht="14.25" customHeight="1" x14ac:dyDescent="0.3">
      <c r="A91" s="15"/>
      <c r="B91" s="15"/>
      <c r="C91" s="15"/>
      <c r="D91" s="15"/>
      <c r="E91" s="15"/>
    </row>
    <row r="92" spans="1:6" ht="15" customHeight="1" x14ac:dyDescent="0.3">
      <c r="A92" s="18" t="s">
        <v>245</v>
      </c>
      <c r="B92" s="37"/>
      <c r="C92" s="37"/>
      <c r="D92" s="37"/>
      <c r="E92" s="37"/>
    </row>
    <row r="93" spans="1:6" ht="14.25" customHeight="1" x14ac:dyDescent="0.3">
      <c r="A93" s="28" t="s">
        <v>246</v>
      </c>
      <c r="B93" s="28"/>
      <c r="C93" s="28"/>
      <c r="D93" s="28"/>
      <c r="E93" s="28"/>
    </row>
  </sheetData>
  <mergeCells count="8">
    <mergeCell ref="A58:D58"/>
    <mergeCell ref="A64:D64"/>
    <mergeCell ref="A69:D69"/>
    <mergeCell ref="A1:D1"/>
    <mergeCell ref="A2:D2"/>
    <mergeCell ref="A5:D5"/>
    <mergeCell ref="A26:D26"/>
    <mergeCell ref="A37:D3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8"/>
  <sheetViews>
    <sheetView zoomScale="108" zoomScaleNormal="108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8.6640625" defaultRowHeight="14.4" x14ac:dyDescent="0.3"/>
  <cols>
    <col min="1" max="1" width="58" customWidth="1"/>
    <col min="2" max="2" width="4" customWidth="1"/>
    <col min="3" max="8" width="14" customWidth="1"/>
  </cols>
  <sheetData>
    <row r="1" spans="1:8" ht="15.75" customHeight="1" x14ac:dyDescent="0.3">
      <c r="A1" s="74" t="s">
        <v>247</v>
      </c>
    </row>
    <row r="3" spans="1:8" ht="21.75" customHeight="1" x14ac:dyDescent="0.3">
      <c r="A3" s="14"/>
      <c r="B3" s="14" t="s">
        <v>43</v>
      </c>
      <c r="C3" s="14" t="s">
        <v>248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</row>
    <row r="4" spans="1:8" ht="14.25" customHeight="1" x14ac:dyDescent="0.3">
      <c r="A4" s="15"/>
      <c r="B4" s="15"/>
      <c r="C4" s="15"/>
      <c r="D4" s="15"/>
      <c r="E4" s="15"/>
      <c r="F4" s="15"/>
      <c r="G4" s="15"/>
      <c r="H4" s="15"/>
    </row>
    <row r="5" spans="1:8" ht="15" customHeight="1" x14ac:dyDescent="0.3">
      <c r="A5" s="39" t="s">
        <v>183</v>
      </c>
      <c r="B5" s="31"/>
      <c r="C5" s="31"/>
      <c r="D5" s="31"/>
      <c r="E5" s="31"/>
      <c r="F5" s="31"/>
      <c r="G5" s="31"/>
      <c r="H5" s="31"/>
    </row>
    <row r="6" spans="1:8" ht="15" customHeight="1" x14ac:dyDescent="0.3">
      <c r="A6" s="16" t="s">
        <v>249</v>
      </c>
      <c r="B6" s="34"/>
      <c r="C6" s="75">
        <f>'Projected Profit and Loss'!C16</f>
        <v>95610</v>
      </c>
      <c r="D6" s="44">
        <f ca="1">'Projected Profit and Loss'!D16</f>
        <v>103947.96326842606</v>
      </c>
      <c r="E6" s="44">
        <f ca="1">'Projected Profit and Loss'!E16</f>
        <v>111338.50361256793</v>
      </c>
      <c r="F6" s="44">
        <f ca="1">'Projected Profit and Loss'!F16</f>
        <v>119536.38538600953</v>
      </c>
      <c r="G6" s="44">
        <f ca="1">'Projected Profit and Loss'!G16</f>
        <v>127744.70813107098</v>
      </c>
      <c r="H6" s="44">
        <f ca="1">'Projected Profit and Loss'!H16</f>
        <v>135883.83318384321</v>
      </c>
    </row>
    <row r="7" spans="1:8" ht="15" customHeight="1" x14ac:dyDescent="0.3">
      <c r="A7" s="18" t="s">
        <v>250</v>
      </c>
      <c r="B7" s="37"/>
      <c r="C7" s="76">
        <f>'Projected Profit and Loss'!C10*-1</f>
        <v>57688</v>
      </c>
      <c r="D7" s="22">
        <f>-'Projected Profit and Loss'!D10</f>
        <v>60906.644717185132</v>
      </c>
      <c r="E7" s="22">
        <f>-'Projected Profit and Loss'!E10</f>
        <v>65780.97463748118</v>
      </c>
      <c r="F7" s="22">
        <f>-'Projected Profit and Loss'!F10</f>
        <v>70686.198497347505</v>
      </c>
      <c r="G7" s="22">
        <f>-'Projected Profit and Loss'!G10</f>
        <v>75572.399049973072</v>
      </c>
      <c r="H7" s="22">
        <f>-'Projected Profit and Loss'!H10</f>
        <v>80386.153165624564</v>
      </c>
    </row>
    <row r="8" spans="1:8" ht="15" customHeight="1" x14ac:dyDescent="0.3">
      <c r="A8" s="16" t="s">
        <v>251</v>
      </c>
      <c r="B8" s="34"/>
      <c r="C8" s="75">
        <f>'Projected Profit and Loss'!C12*-1</f>
        <v>27061</v>
      </c>
      <c r="D8" s="44">
        <f ca="1">-'Projected Profit and Loss'!D12</f>
        <v>27632.741366580442</v>
      </c>
      <c r="E8" s="44">
        <f ca="1">-'Projected Profit and Loss'!E12</f>
        <v>27278.794477274922</v>
      </c>
      <c r="F8" s="44">
        <f ca="1">-'Projected Profit and Loss'!F12</f>
        <v>25782.310309001692</v>
      </c>
      <c r="G8" s="44">
        <f ca="1">-'Projected Profit and Loss'!G12</f>
        <v>24079.891761756498</v>
      </c>
      <c r="H8" s="44">
        <f ca="1">-'Projected Profit and Loss'!H12</f>
        <v>22171.27367442628</v>
      </c>
    </row>
    <row r="9" spans="1:8" ht="15" customHeight="1" x14ac:dyDescent="0.3">
      <c r="A9" s="18" t="s">
        <v>252</v>
      </c>
      <c r="B9" s="37"/>
      <c r="C9" s="76">
        <f>-('Projected Balance Sheet'!C13-'Balance Sheet'!D26)</f>
        <v>-16370</v>
      </c>
      <c r="D9" s="22">
        <f>-('Projected Balance Sheet'!D13-'Projected Balance Sheet'!C13)</f>
        <v>-3658.7170613763374</v>
      </c>
      <c r="E9" s="22">
        <f>-('Projected Balance Sheet'!E13-'Projected Balance Sheet'!D13)</f>
        <v>4251.4724612878854</v>
      </c>
      <c r="F9" s="22">
        <f>-('Projected Balance Sheet'!F13-'Projected Balance Sheet'!E13)</f>
        <v>5406.064462411734</v>
      </c>
      <c r="G9" s="22">
        <f>-('Projected Balance Sheet'!G13-'Projected Balance Sheet'!F13)</f>
        <v>-2629.2621979717369</v>
      </c>
      <c r="H9" s="22">
        <f>-('Projected Balance Sheet'!H13-'Projected Balance Sheet'!G13)</f>
        <v>-2485.3511682305543</v>
      </c>
    </row>
    <row r="10" spans="1:8" ht="15" customHeight="1" x14ac:dyDescent="0.3">
      <c r="A10" s="16" t="s">
        <v>253</v>
      </c>
      <c r="B10" s="34"/>
      <c r="C10" s="75">
        <f>'Projected Balance Sheet'!C45-'Balance Sheet'!D57</f>
        <v>-27947</v>
      </c>
      <c r="D10" s="44">
        <f>'Projected Balance Sheet'!D45-'Projected Balance Sheet'!C45</f>
        <v>10885.44868561867</v>
      </c>
      <c r="E10" s="44">
        <f>'Projected Balance Sheet'!E45-'Projected Balance Sheet'!D45</f>
        <v>25403.46198277513</v>
      </c>
      <c r="F10" s="44">
        <f>'Projected Balance Sheet'!F45-'Projected Balance Sheet'!E45</f>
        <v>26718.889913383784</v>
      </c>
      <c r="G10" s="44">
        <f>'Projected Balance Sheet'!G45-'Projected Balance Sheet'!F45</f>
        <v>10401.281149351096</v>
      </c>
      <c r="H10" s="44">
        <f>'Projected Balance Sheet'!H45-'Projected Balance Sheet'!G45</f>
        <v>9728.9594401191862</v>
      </c>
    </row>
    <row r="11" spans="1:8" ht="15" customHeight="1" x14ac:dyDescent="0.3">
      <c r="A11" s="18" t="s">
        <v>254</v>
      </c>
      <c r="B11" s="37"/>
      <c r="C11" s="76">
        <f>-('Projected Balance Sheet'!C10-'Balance Sheet'!D23)</f>
        <v>-20879</v>
      </c>
      <c r="D11" s="22">
        <f>-('Projected Balance Sheet'!D10-'Projected Balance Sheet'!C10)</f>
        <v>-12531.842707864853</v>
      </c>
      <c r="E11" s="22">
        <f>-('Projected Balance Sheet'!E10-'Projected Balance Sheet'!D10)</f>
        <v>-10207.239029191405</v>
      </c>
      <c r="F11" s="22">
        <f>-('Projected Balance Sheet'!F10-'Projected Balance Sheet'!E10)</f>
        <v>-9840.3893813756877</v>
      </c>
      <c r="G11" s="22">
        <f>-('Projected Balance Sheet'!G10-'Projected Balance Sheet'!F10)</f>
        <v>-9354.385308040044</v>
      </c>
      <c r="H11" s="22">
        <f>-('Projected Balance Sheet'!H10-'Projected Balance Sheet'!G10)</f>
        <v>-8749.7332244351855</v>
      </c>
    </row>
    <row r="12" spans="1:8" ht="15.75" customHeight="1" x14ac:dyDescent="0.3">
      <c r="A12" s="51" t="s">
        <v>255</v>
      </c>
      <c r="B12" s="43"/>
      <c r="C12" s="77">
        <f t="shared" ref="C12:H12" si="0">SUM(C6:C11)</f>
        <v>115163</v>
      </c>
      <c r="D12" s="48">
        <f t="shared" ca="1" si="0"/>
        <v>187182.23826856911</v>
      </c>
      <c r="E12" s="48">
        <f t="shared" ca="1" si="0"/>
        <v>223845.96814219566</v>
      </c>
      <c r="F12" s="48">
        <f t="shared" ca="1" si="0"/>
        <v>238289.45918677855</v>
      </c>
      <c r="G12" s="48">
        <f t="shared" ca="1" si="0"/>
        <v>225814.63258613987</v>
      </c>
      <c r="H12" s="48">
        <f t="shared" ca="1" si="0"/>
        <v>236935.1350713475</v>
      </c>
    </row>
    <row r="13" spans="1:8" ht="14.25" customHeight="1" x14ac:dyDescent="0.3">
      <c r="A13" s="15"/>
      <c r="B13" s="15"/>
      <c r="C13" s="15"/>
      <c r="D13" s="15"/>
      <c r="E13" s="15"/>
      <c r="F13" s="15"/>
      <c r="G13" s="15"/>
      <c r="H13" s="15"/>
    </row>
    <row r="14" spans="1:8" ht="15" customHeight="1" x14ac:dyDescent="0.3">
      <c r="A14" s="39" t="s">
        <v>201</v>
      </c>
      <c r="B14" s="31"/>
      <c r="C14" s="31"/>
      <c r="D14" s="31"/>
      <c r="E14" s="31"/>
      <c r="F14" s="31"/>
      <c r="G14" s="31"/>
      <c r="H14" s="31"/>
    </row>
    <row r="15" spans="1:8" ht="15" customHeight="1" x14ac:dyDescent="0.3">
      <c r="A15" s="16" t="s">
        <v>256</v>
      </c>
      <c r="B15" s="34"/>
      <c r="C15" s="78">
        <f>'Projected Profit and Loss'!C19*-1</f>
        <v>-122916</v>
      </c>
      <c r="D15" s="44">
        <f>-'Projected Profit and Loss'!D19</f>
        <v>-155365.35892727433</v>
      </c>
      <c r="E15" s="44">
        <f>-'Projected Profit and Loss'!E19</f>
        <v>-152555.73146488456</v>
      </c>
      <c r="F15" s="44">
        <f>-'Projected Profit and Loss'!F19</f>
        <v>-148145.42933141772</v>
      </c>
      <c r="G15" s="44">
        <f>-'Projected Profit and Loss'!G19</f>
        <v>-142109.58700740003</v>
      </c>
      <c r="H15" s="44">
        <f>-'Projected Profit and Loss'!H19</f>
        <v>-134454.14566870575</v>
      </c>
    </row>
    <row r="16" spans="1:8" ht="15.75" customHeight="1" x14ac:dyDescent="0.3">
      <c r="A16" s="51" t="s">
        <v>257</v>
      </c>
      <c r="B16" s="43"/>
      <c r="C16" s="79">
        <f t="shared" ref="C16:H16" si="1">C15</f>
        <v>-122916</v>
      </c>
      <c r="D16" s="48">
        <f t="shared" si="1"/>
        <v>-155365.35892727433</v>
      </c>
      <c r="E16" s="48">
        <f t="shared" si="1"/>
        <v>-152555.73146488456</v>
      </c>
      <c r="F16" s="48">
        <f t="shared" si="1"/>
        <v>-148145.42933141772</v>
      </c>
      <c r="G16" s="48">
        <f t="shared" si="1"/>
        <v>-142109.58700740003</v>
      </c>
      <c r="H16" s="48">
        <f t="shared" si="1"/>
        <v>-134454.14566870575</v>
      </c>
    </row>
    <row r="17" spans="1:8" ht="14.25" customHeight="1" x14ac:dyDescent="0.3">
      <c r="A17" s="15"/>
      <c r="B17" s="15"/>
      <c r="C17" s="15"/>
      <c r="D17" s="80"/>
      <c r="E17" s="80"/>
      <c r="F17" s="80"/>
      <c r="G17" s="80"/>
      <c r="H17" s="80"/>
    </row>
    <row r="18" spans="1:8" ht="15" customHeight="1" x14ac:dyDescent="0.3">
      <c r="A18" s="39" t="s">
        <v>211</v>
      </c>
      <c r="B18" s="31"/>
      <c r="C18" s="31"/>
      <c r="D18" s="50"/>
      <c r="E18" s="50"/>
      <c r="F18" s="50"/>
      <c r="G18" s="50"/>
      <c r="H18" s="50"/>
    </row>
    <row r="19" spans="1:8" ht="15" customHeight="1" x14ac:dyDescent="0.3">
      <c r="A19" s="18" t="s">
        <v>258</v>
      </c>
      <c r="B19" s="37"/>
      <c r="C19" s="81">
        <f>C8*-1</f>
        <v>-27061</v>
      </c>
      <c r="D19" s="37">
        <f ca="1">-'Debt Schedule'!D18</f>
        <v>-27632.741366580442</v>
      </c>
      <c r="E19" s="37">
        <f ca="1">-'Debt Schedule'!E18</f>
        <v>-27278.794477274922</v>
      </c>
      <c r="F19" s="37">
        <f ca="1">-'Debt Schedule'!F18</f>
        <v>-25782.310309001703</v>
      </c>
      <c r="G19" s="37">
        <f ca="1">-'Debt Schedule'!G18</f>
        <v>-24079.891761755389</v>
      </c>
      <c r="H19" s="37">
        <f ca="1">-'Debt Schedule'!H18</f>
        <v>-22171.27367441461</v>
      </c>
    </row>
    <row r="20" spans="1:8" ht="15" customHeight="1" x14ac:dyDescent="0.3">
      <c r="A20" s="16" t="s">
        <v>259</v>
      </c>
      <c r="B20" s="34"/>
      <c r="C20" s="78">
        <f>-('Projected Profit and Loss'!C16*Assumptions!B16)</f>
        <v>-8820.0141212536819</v>
      </c>
      <c r="D20" s="44">
        <f ca="1">-'Projected Profit and Loss'!D16*Assumptions!C16</f>
        <v>-10394.796326842607</v>
      </c>
      <c r="E20" s="44">
        <f ca="1">-'Projected Profit and Loss'!E16*Assumptions!D16</f>
        <v>-12247.235397382472</v>
      </c>
      <c r="F20" s="44">
        <f ca="1">-'Projected Profit and Loss'!F16*Assumptions!E16</f>
        <v>-14344.366246321142</v>
      </c>
      <c r="G20" s="44">
        <f ca="1">-'Projected Profit and Loss'!G16*Assumptions!F16</f>
        <v>-16606.812057039228</v>
      </c>
      <c r="H20" s="44">
        <f ca="1">-'Projected Profit and Loss'!H16*Assumptions!G16</f>
        <v>-19023.736645738052</v>
      </c>
    </row>
    <row r="21" spans="1:8" ht="15.75" customHeight="1" x14ac:dyDescent="0.3">
      <c r="A21" s="82" t="s">
        <v>260</v>
      </c>
      <c r="B21" s="43"/>
      <c r="C21" s="79">
        <f>'Balance Sheet'!C44+'Balance Sheet'!C55-('Balance Sheet'!D44+'Balance Sheet'!D55)</f>
        <v>26891</v>
      </c>
      <c r="D21" s="48">
        <f ca="1">'Debt Schedule'!D9</f>
        <v>6210.6583521282628</v>
      </c>
      <c r="E21" s="48">
        <f ca="1">'Debt Schedule'!E9</f>
        <v>-15882.103401326855</v>
      </c>
      <c r="F21" s="48">
        <f ca="1">'Debt Schedule'!F9</f>
        <v>-25008.676650019057</v>
      </c>
      <c r="G21" s="48">
        <f ca="1">'Debt Schedule'!G9</f>
        <v>-21509.170879972851</v>
      </c>
      <c r="H21" s="48">
        <f ca="1">'Debt Schedule'!H9</f>
        <v>-30642.989541206229</v>
      </c>
    </row>
    <row r="22" spans="1:8" ht="15.75" customHeight="1" x14ac:dyDescent="0.3">
      <c r="A22" s="51" t="s">
        <v>261</v>
      </c>
      <c r="B22" s="43"/>
      <c r="C22" s="79">
        <f t="shared" ref="C22:H22" si="2">SUM(C19:C21)</f>
        <v>-8990.0141212536837</v>
      </c>
      <c r="D22" s="48">
        <f t="shared" ca="1" si="2"/>
        <v>-31816.879341294782</v>
      </c>
      <c r="E22" s="48">
        <f t="shared" ca="1" si="2"/>
        <v>-55408.133275984248</v>
      </c>
      <c r="F22" s="48">
        <f t="shared" ca="1" si="2"/>
        <v>-65135.353205341904</v>
      </c>
      <c r="G22" s="48">
        <f t="shared" ca="1" si="2"/>
        <v>-62195.874698767468</v>
      </c>
      <c r="H22" s="48">
        <f t="shared" ca="1" si="2"/>
        <v>-71837.999861358898</v>
      </c>
    </row>
    <row r="23" spans="1:8" ht="14.25" customHeight="1" x14ac:dyDescent="0.3">
      <c r="A23" s="15"/>
      <c r="B23" s="15"/>
      <c r="C23" s="15"/>
      <c r="D23" s="80"/>
      <c r="E23" s="80"/>
      <c r="F23" s="80"/>
      <c r="G23" s="80"/>
      <c r="H23" s="80"/>
    </row>
    <row r="24" spans="1:8" ht="15.75" customHeight="1" x14ac:dyDescent="0.3">
      <c r="A24" s="51" t="s">
        <v>262</v>
      </c>
      <c r="B24" s="43"/>
      <c r="C24" s="79">
        <f t="shared" ref="C24:H24" si="3">C12+C16+C22</f>
        <v>-16743.014121253684</v>
      </c>
      <c r="D24" s="48">
        <f t="shared" ca="1" si="3"/>
        <v>0</v>
      </c>
      <c r="E24" s="48">
        <f t="shared" ca="1" si="3"/>
        <v>15882.103401326851</v>
      </c>
      <c r="F24" s="48">
        <f t="shared" ca="1" si="3"/>
        <v>25008.676650018926</v>
      </c>
      <c r="G24" s="48">
        <f t="shared" ca="1" si="3"/>
        <v>21509.170879972371</v>
      </c>
      <c r="H24" s="48">
        <f t="shared" ca="1" si="3"/>
        <v>30642.989541282848</v>
      </c>
    </row>
    <row r="25" spans="1:8" ht="15" customHeight="1" x14ac:dyDescent="0.3">
      <c r="A25" s="18" t="s">
        <v>263</v>
      </c>
      <c r="B25" s="37"/>
      <c r="C25" s="81">
        <f>'Balance Sheet'!D27</f>
        <v>106502</v>
      </c>
      <c r="D25" s="81">
        <f>'Balance Sheet'!C27</f>
        <v>145977</v>
      </c>
      <c r="E25" s="22">
        <f ca="1">D26</f>
        <v>145977</v>
      </c>
      <c r="F25" s="22">
        <f ca="1">E26</f>
        <v>161859.10340132684</v>
      </c>
      <c r="G25" s="22">
        <f ca="1">F26</f>
        <v>186867.78005134576</v>
      </c>
      <c r="H25" s="22">
        <f ca="1">G26</f>
        <v>208376.95093134145</v>
      </c>
    </row>
    <row r="26" spans="1:8" ht="15.75" customHeight="1" x14ac:dyDescent="0.3">
      <c r="A26" s="51" t="s">
        <v>264</v>
      </c>
      <c r="B26" s="43"/>
      <c r="C26" s="79">
        <f t="shared" ref="C26:H26" si="4">C24+C25</f>
        <v>89758.985878746316</v>
      </c>
      <c r="D26" s="48">
        <f t="shared" ca="1" si="4"/>
        <v>145977</v>
      </c>
      <c r="E26" s="48">
        <f t="shared" ca="1" si="4"/>
        <v>161859.10340132687</v>
      </c>
      <c r="F26" s="48">
        <f t="shared" ca="1" si="4"/>
        <v>186867.78005134576</v>
      </c>
      <c r="G26" s="48">
        <f t="shared" ca="1" si="4"/>
        <v>208376.95093131813</v>
      </c>
      <c r="H26" s="48">
        <f t="shared" ca="1" si="4"/>
        <v>239019.94047262429</v>
      </c>
    </row>
    <row r="27" spans="1:8" ht="14.25" customHeight="1" x14ac:dyDescent="0.3">
      <c r="A27" s="15"/>
      <c r="B27" s="15"/>
      <c r="C27" s="15"/>
      <c r="D27" s="15"/>
      <c r="E27" s="15"/>
      <c r="F27" s="15"/>
      <c r="G27" s="15"/>
      <c r="H27" s="15"/>
    </row>
    <row r="28" spans="1:8" ht="14.25" customHeight="1" x14ac:dyDescent="0.3">
      <c r="A28" s="28" t="s">
        <v>265</v>
      </c>
      <c r="B28" s="28"/>
      <c r="C28" s="28"/>
      <c r="D28" s="28"/>
      <c r="E28" s="28"/>
      <c r="F28" s="28"/>
      <c r="G28" s="28"/>
      <c r="H28" s="2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H54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ColWidth="8.6640625" defaultRowHeight="14.4" x14ac:dyDescent="0.3"/>
  <cols>
    <col min="1" max="1" width="4" customWidth="1"/>
    <col min="2" max="2" width="48" customWidth="1"/>
    <col min="3" max="8" width="14" customWidth="1"/>
  </cols>
  <sheetData>
    <row r="3" spans="1:8" ht="21.75" customHeight="1" x14ac:dyDescent="0.3">
      <c r="A3" s="14"/>
      <c r="B3" s="14"/>
      <c r="C3" s="14" t="s">
        <v>248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</row>
    <row r="4" spans="1:8" ht="15" customHeight="1" x14ac:dyDescent="0.3">
      <c r="A4" s="16"/>
      <c r="B4" s="16" t="s">
        <v>266</v>
      </c>
      <c r="C4" s="34"/>
      <c r="D4" s="34"/>
      <c r="E4" s="34"/>
      <c r="F4" s="34"/>
      <c r="G4" s="34"/>
      <c r="H4" s="34"/>
    </row>
    <row r="5" spans="1:8" ht="15" customHeight="1" x14ac:dyDescent="0.3">
      <c r="A5" s="18"/>
      <c r="B5" s="18" t="s">
        <v>267</v>
      </c>
      <c r="C5" s="22">
        <f>SUM('Balance Sheet'!C7:C13)</f>
        <v>1362481</v>
      </c>
      <c r="D5" s="22">
        <f>C5+'Projected Profit and Loss'!D19+'Projected Profit and Loss'!D10</f>
        <v>1456939.7142100893</v>
      </c>
      <c r="E5" s="22">
        <f>D5+'Projected Profit and Loss'!E19+'Projected Profit and Loss'!E10</f>
        <v>1543714.4710374926</v>
      </c>
      <c r="F5" s="22">
        <f>E5+'Projected Profit and Loss'!F19+'Projected Profit and Loss'!F10</f>
        <v>1621173.7018715627</v>
      </c>
      <c r="G5" s="22">
        <f>F5+'Projected Profit and Loss'!G19+'Projected Profit and Loss'!G10</f>
        <v>1687710.8898289897</v>
      </c>
      <c r="H5" s="22">
        <f>G5+'Projected Profit and Loss'!H19+'Projected Profit and Loss'!H10</f>
        <v>1741778.882332071</v>
      </c>
    </row>
    <row r="6" spans="1:8" ht="15" customHeight="1" x14ac:dyDescent="0.3">
      <c r="A6" s="16"/>
      <c r="B6" s="16" t="s">
        <v>268</v>
      </c>
      <c r="C6" s="44">
        <f>SUM('Balance Sheet'!C15:C19)</f>
        <v>221410</v>
      </c>
      <c r="D6" s="34">
        <f>C6</f>
        <v>221410</v>
      </c>
      <c r="E6" s="34">
        <f>D6</f>
        <v>221410</v>
      </c>
      <c r="F6" s="34">
        <f>E6</f>
        <v>221410</v>
      </c>
      <c r="G6" s="34">
        <f>F6</f>
        <v>221410</v>
      </c>
      <c r="H6" s="34">
        <f>G6</f>
        <v>221410</v>
      </c>
    </row>
    <row r="7" spans="1:8" ht="15" customHeight="1" x14ac:dyDescent="0.3">
      <c r="A7" s="18"/>
      <c r="B7" s="18" t="s">
        <v>269</v>
      </c>
      <c r="C7" s="37">
        <f t="shared" ref="C7:H7" si="0">SUM(C5:C6)</f>
        <v>1583891</v>
      </c>
      <c r="D7" s="37">
        <f t="shared" si="0"/>
        <v>1678349.7142100893</v>
      </c>
      <c r="E7" s="37">
        <f t="shared" si="0"/>
        <v>1765124.4710374926</v>
      </c>
      <c r="F7" s="37">
        <f t="shared" si="0"/>
        <v>1842583.7018715627</v>
      </c>
      <c r="G7" s="37">
        <f t="shared" si="0"/>
        <v>1909120.8898289897</v>
      </c>
      <c r="H7" s="37">
        <f t="shared" si="0"/>
        <v>1963188.882332071</v>
      </c>
    </row>
    <row r="8" spans="1:8" ht="14.25" customHeight="1" x14ac:dyDescent="0.3">
      <c r="A8" s="15"/>
      <c r="B8" s="15"/>
      <c r="C8" s="15"/>
      <c r="D8" s="15"/>
      <c r="E8" s="15"/>
      <c r="F8" s="15"/>
      <c r="G8" s="15"/>
      <c r="H8" s="15"/>
    </row>
    <row r="9" spans="1:8" ht="15" customHeight="1" x14ac:dyDescent="0.3">
      <c r="A9" s="16"/>
      <c r="B9" s="16" t="s">
        <v>270</v>
      </c>
      <c r="C9" s="34"/>
      <c r="D9" s="34"/>
      <c r="E9" s="34"/>
      <c r="F9" s="34"/>
      <c r="G9" s="34"/>
      <c r="H9" s="34"/>
    </row>
    <row r="10" spans="1:8" ht="15" customHeight="1" x14ac:dyDescent="0.3">
      <c r="A10" s="18"/>
      <c r="B10" s="25" t="s">
        <v>68</v>
      </c>
      <c r="C10" s="22">
        <f>'Balance Sheet'!C23</f>
        <v>166941</v>
      </c>
      <c r="D10" s="22">
        <f>(-'Projected Profit and Loss'!D7*Assumptions!C12)/365</f>
        <v>179472.84270786485</v>
      </c>
      <c r="E10" s="22">
        <f>(-'Projected Profit and Loss'!E7*Assumptions!D12)/365</f>
        <v>189680.08173705626</v>
      </c>
      <c r="F10" s="22">
        <f>(-'Projected Profit and Loss'!F7*Assumptions!E12)/365</f>
        <v>199520.47111843195</v>
      </c>
      <c r="G10" s="22">
        <f>(-'Projected Profit and Loss'!G7*Assumptions!F12)/365</f>
        <v>208874.85642647199</v>
      </c>
      <c r="H10" s="22">
        <f>(-'Projected Profit and Loss'!H7*Assumptions!G12)/365</f>
        <v>217624.58965090718</v>
      </c>
    </row>
    <row r="11" spans="1:8" ht="15" customHeight="1" x14ac:dyDescent="0.3">
      <c r="A11" s="16"/>
      <c r="B11" s="27" t="s">
        <v>60</v>
      </c>
      <c r="C11" s="34"/>
      <c r="D11" s="34"/>
      <c r="E11" s="34"/>
      <c r="F11" s="34"/>
      <c r="G11" s="34"/>
      <c r="H11" s="34"/>
    </row>
    <row r="12" spans="1:8" ht="15" customHeight="1" x14ac:dyDescent="0.3">
      <c r="A12" s="18"/>
      <c r="B12" s="25" t="s">
        <v>61</v>
      </c>
      <c r="C12" s="37">
        <f>'Balance Sheet'!C25</f>
        <v>97431</v>
      </c>
      <c r="D12" s="37">
        <f>C12</f>
        <v>97431</v>
      </c>
      <c r="E12" s="37">
        <f>D12</f>
        <v>97431</v>
      </c>
      <c r="F12" s="37">
        <f>E12</f>
        <v>97431</v>
      </c>
      <c r="G12" s="37">
        <f>F12</f>
        <v>97431</v>
      </c>
      <c r="H12" s="37">
        <f>G12</f>
        <v>97431</v>
      </c>
    </row>
    <row r="13" spans="1:8" ht="15" customHeight="1" x14ac:dyDescent="0.3">
      <c r="A13" s="16"/>
      <c r="B13" s="27" t="s">
        <v>69</v>
      </c>
      <c r="C13" s="44">
        <f>'Balance Sheet'!C26</f>
        <v>58491</v>
      </c>
      <c r="D13" s="44">
        <f>('Projected Profit and Loss'!D6*Assumptions!C11)/365</f>
        <v>62149.717061376337</v>
      </c>
      <c r="E13" s="44">
        <f>('Projected Profit and Loss'!E6*Assumptions!D11)/365</f>
        <v>57898.244600088452</v>
      </c>
      <c r="F13" s="44">
        <f>('Projected Profit and Loss'!F6*Assumptions!E11)/365</f>
        <v>52492.180137676718</v>
      </c>
      <c r="G13" s="44">
        <f>('Projected Profit and Loss'!G6*Assumptions!F11)/365</f>
        <v>55121.442335648455</v>
      </c>
      <c r="H13" s="44">
        <f>('Projected Profit and Loss'!H6*Assumptions!G11)/365</f>
        <v>57606.793503879009</v>
      </c>
    </row>
    <row r="14" spans="1:8" ht="15" customHeight="1" x14ac:dyDescent="0.3">
      <c r="A14" s="18"/>
      <c r="B14" s="25" t="s">
        <v>70</v>
      </c>
      <c r="C14" s="37">
        <f>'Balance Sheet'!C27</f>
        <v>145977</v>
      </c>
      <c r="D14" s="37">
        <f ca="1">'Projected Cash Flow'!D26</f>
        <v>145977</v>
      </c>
      <c r="E14" s="37">
        <f ca="1">'Projected Cash Flow'!E26</f>
        <v>161859.10340132684</v>
      </c>
      <c r="F14" s="37">
        <f ca="1">'Projected Cash Flow'!F26</f>
        <v>186867.78005134576</v>
      </c>
      <c r="G14" s="37">
        <f ca="1">'Projected Cash Flow'!G26</f>
        <v>208376.95093134145</v>
      </c>
      <c r="H14" s="37">
        <f ca="1">'Projected Cash Flow'!H26</f>
        <v>239019.94047272662</v>
      </c>
    </row>
    <row r="15" spans="1:8" ht="15" customHeight="1" x14ac:dyDescent="0.3">
      <c r="A15" s="16"/>
      <c r="B15" s="27" t="s">
        <v>62</v>
      </c>
      <c r="C15" s="34">
        <f>'Balance Sheet'!C28</f>
        <v>4870</v>
      </c>
      <c r="D15" s="34">
        <f t="shared" ref="D15:H17" si="1">C15</f>
        <v>4870</v>
      </c>
      <c r="E15" s="34">
        <f t="shared" si="1"/>
        <v>4870</v>
      </c>
      <c r="F15" s="34">
        <f t="shared" si="1"/>
        <v>4870</v>
      </c>
      <c r="G15" s="34">
        <f t="shared" si="1"/>
        <v>4870</v>
      </c>
      <c r="H15" s="34">
        <f t="shared" si="1"/>
        <v>4870</v>
      </c>
    </row>
    <row r="16" spans="1:8" ht="15" customHeight="1" x14ac:dyDescent="0.3">
      <c r="A16" s="18"/>
      <c r="B16" s="25" t="s">
        <v>63</v>
      </c>
      <c r="C16" s="22">
        <f>'Balance Sheet'!C29</f>
        <v>57926</v>
      </c>
      <c r="D16" s="37">
        <f t="shared" si="1"/>
        <v>57926</v>
      </c>
      <c r="E16" s="37">
        <f t="shared" si="1"/>
        <v>57926</v>
      </c>
      <c r="F16" s="37">
        <f t="shared" si="1"/>
        <v>57926</v>
      </c>
      <c r="G16" s="37">
        <f t="shared" si="1"/>
        <v>57926</v>
      </c>
      <c r="H16" s="37">
        <f t="shared" si="1"/>
        <v>57926</v>
      </c>
    </row>
    <row r="17" spans="1:8" ht="15" customHeight="1" x14ac:dyDescent="0.3">
      <c r="A17" s="16"/>
      <c r="B17" s="27" t="s">
        <v>71</v>
      </c>
      <c r="C17" s="44">
        <f>'Balance Sheet'!C30</f>
        <v>62613</v>
      </c>
      <c r="D17" s="34">
        <f t="shared" si="1"/>
        <v>62613</v>
      </c>
      <c r="E17" s="34">
        <f t="shared" si="1"/>
        <v>62613</v>
      </c>
      <c r="F17" s="34">
        <f t="shared" si="1"/>
        <v>62613</v>
      </c>
      <c r="G17" s="34">
        <f t="shared" si="1"/>
        <v>62613</v>
      </c>
      <c r="H17" s="34">
        <f t="shared" si="1"/>
        <v>62613</v>
      </c>
    </row>
    <row r="18" spans="1:8" ht="15" customHeight="1" x14ac:dyDescent="0.3">
      <c r="A18" s="18"/>
      <c r="B18" s="25" t="s">
        <v>72</v>
      </c>
      <c r="C18" s="37">
        <f t="shared" ref="C18:H18" si="2">SUM(C10:C17)</f>
        <v>594249</v>
      </c>
      <c r="D18" s="37">
        <f t="shared" ca="1" si="2"/>
        <v>610439.55976924114</v>
      </c>
      <c r="E18" s="37">
        <f t="shared" ca="1" si="2"/>
        <v>632277.42973847152</v>
      </c>
      <c r="F18" s="37">
        <f t="shared" ca="1" si="2"/>
        <v>661720.43130745436</v>
      </c>
      <c r="G18" s="37">
        <f t="shared" ca="1" si="2"/>
        <v>695213.24969346193</v>
      </c>
      <c r="H18" s="37">
        <f t="shared" ca="1" si="2"/>
        <v>737091.32362751279</v>
      </c>
    </row>
    <row r="19" spans="1:8" ht="14.25" customHeight="1" x14ac:dyDescent="0.3">
      <c r="A19" s="15"/>
      <c r="B19" s="15"/>
      <c r="C19" s="15"/>
      <c r="D19" s="15"/>
      <c r="E19" s="15"/>
      <c r="F19" s="15"/>
      <c r="G19" s="15"/>
      <c r="H19" s="15"/>
    </row>
    <row r="20" spans="1:8" ht="15" customHeight="1" x14ac:dyDescent="0.3">
      <c r="A20" s="16"/>
      <c r="B20" s="27" t="s">
        <v>73</v>
      </c>
      <c r="C20" s="34">
        <f t="shared" ref="C20:H20" si="3">C7+C18</f>
        <v>2178140</v>
      </c>
      <c r="D20" s="34">
        <f t="shared" ca="1" si="3"/>
        <v>2288789.2739793304</v>
      </c>
      <c r="E20" s="34">
        <f t="shared" ca="1" si="3"/>
        <v>2397401.9007759644</v>
      </c>
      <c r="F20" s="34">
        <f t="shared" ca="1" si="3"/>
        <v>2504304.1331790173</v>
      </c>
      <c r="G20" s="34">
        <f t="shared" ca="1" si="3"/>
        <v>2604334.1395224519</v>
      </c>
      <c r="H20" s="34">
        <f t="shared" ca="1" si="3"/>
        <v>2700280.2059595836</v>
      </c>
    </row>
    <row r="21" spans="1:8" ht="14.25" customHeight="1" x14ac:dyDescent="0.3">
      <c r="A21" s="15"/>
      <c r="B21" s="15"/>
      <c r="C21" s="15"/>
      <c r="D21" s="15"/>
      <c r="E21" s="15"/>
      <c r="F21" s="15"/>
      <c r="G21" s="15"/>
      <c r="H21" s="15"/>
    </row>
    <row r="22" spans="1:8" ht="15" customHeight="1" x14ac:dyDescent="0.3">
      <c r="A22" s="18"/>
      <c r="B22" s="25" t="s">
        <v>74</v>
      </c>
      <c r="C22" s="37"/>
      <c r="D22" s="37"/>
      <c r="E22" s="37"/>
      <c r="F22" s="37"/>
      <c r="G22" s="37"/>
      <c r="H22" s="37"/>
    </row>
    <row r="23" spans="1:8" ht="15" customHeight="1" x14ac:dyDescent="0.3">
      <c r="A23" s="16"/>
      <c r="B23" s="16" t="s">
        <v>75</v>
      </c>
      <c r="C23" s="34"/>
      <c r="D23" s="34"/>
      <c r="E23" s="34"/>
      <c r="F23" s="34"/>
      <c r="G23" s="34"/>
      <c r="H23" s="34"/>
    </row>
    <row r="24" spans="1:8" ht="15" customHeight="1" x14ac:dyDescent="0.3">
      <c r="A24" s="18"/>
      <c r="B24" s="25" t="s">
        <v>76</v>
      </c>
      <c r="C24" s="22">
        <f>'Balance Sheet'!C37</f>
        <v>13532</v>
      </c>
      <c r="D24" s="22">
        <f>C24</f>
        <v>13532</v>
      </c>
      <c r="E24" s="22">
        <f>D24</f>
        <v>13532</v>
      </c>
      <c r="F24" s="22">
        <f>E24</f>
        <v>13532</v>
      </c>
      <c r="G24" s="22">
        <f>F24</f>
        <v>13532</v>
      </c>
      <c r="H24" s="22">
        <f>G24</f>
        <v>13532</v>
      </c>
    </row>
    <row r="25" spans="1:8" ht="15" customHeight="1" x14ac:dyDescent="0.3">
      <c r="A25" s="16"/>
      <c r="B25" s="27" t="s">
        <v>77</v>
      </c>
      <c r="C25" s="44">
        <f>'Balance Sheet'!C38</f>
        <v>890498</v>
      </c>
      <c r="D25" s="44">
        <f ca="1">C25+'Projected Profit and Loss'!D16-('Projected Profit and Loss'!D16*Assumptions!C16)</f>
        <v>984051.16694158339</v>
      </c>
      <c r="E25" s="44">
        <f ca="1">D25+'Projected Profit and Loss'!E16-('Projected Profit and Loss'!E16*Assumptions!D16)</f>
        <v>1083142.4351567689</v>
      </c>
      <c r="F25" s="44">
        <f ca="1">E25+'Projected Profit and Loss'!F16-('Projected Profit and Loss'!F16*Assumptions!E16)</f>
        <v>1188334.4542964571</v>
      </c>
      <c r="G25" s="44">
        <f ca="1">F25+'Projected Profit and Loss'!G16-('Projected Profit and Loss'!G16*Assumptions!F16)</f>
        <v>1299472.3503704888</v>
      </c>
      <c r="H25" s="44">
        <f ca="1">G25+'Projected Profit and Loss'!H16-('Projected Profit and Loss'!H16*Assumptions!G16)</f>
        <v>1416332.4469085939</v>
      </c>
    </row>
    <row r="26" spans="1:8" ht="15" customHeight="1" x14ac:dyDescent="0.3">
      <c r="A26" s="18"/>
      <c r="B26" s="25" t="s">
        <v>78</v>
      </c>
      <c r="C26" s="22">
        <f>'Balance Sheet'!C39</f>
        <v>181836</v>
      </c>
      <c r="D26" s="37">
        <f>C26</f>
        <v>181836</v>
      </c>
      <c r="E26" s="37">
        <f>C26</f>
        <v>181836</v>
      </c>
      <c r="F26" s="37">
        <f>C26</f>
        <v>181836</v>
      </c>
      <c r="G26" s="37">
        <f>C26</f>
        <v>181836</v>
      </c>
      <c r="H26" s="37">
        <f>C26</f>
        <v>181836</v>
      </c>
    </row>
    <row r="27" spans="1:8" ht="15" customHeight="1" x14ac:dyDescent="0.3">
      <c r="A27" s="16"/>
      <c r="B27" s="27" t="s">
        <v>79</v>
      </c>
      <c r="C27" s="34">
        <f t="shared" ref="C27:H27" si="4">SUM(C24:C26)</f>
        <v>1085866</v>
      </c>
      <c r="D27" s="34">
        <f t="shared" ca="1" si="4"/>
        <v>1179419.1669415834</v>
      </c>
      <c r="E27" s="34">
        <f t="shared" ca="1" si="4"/>
        <v>1278510.4351567689</v>
      </c>
      <c r="F27" s="34">
        <f t="shared" ca="1" si="4"/>
        <v>1383702.4542964571</v>
      </c>
      <c r="G27" s="34">
        <f t="shared" ca="1" si="4"/>
        <v>1494840.3503704888</v>
      </c>
      <c r="H27" s="34">
        <f t="shared" ca="1" si="4"/>
        <v>1611700.4469085939</v>
      </c>
    </row>
    <row r="28" spans="1:8" ht="14.25" customHeight="1" x14ac:dyDescent="0.3">
      <c r="A28" s="15"/>
      <c r="B28" s="15"/>
      <c r="C28" s="15"/>
      <c r="D28" s="15"/>
      <c r="E28" s="15"/>
      <c r="F28" s="15"/>
      <c r="G28" s="15"/>
      <c r="H28" s="15"/>
    </row>
    <row r="29" spans="1:8" ht="15" customHeight="1" x14ac:dyDescent="0.3">
      <c r="A29" s="18"/>
      <c r="B29" s="4" t="s">
        <v>80</v>
      </c>
      <c r="C29" s="4"/>
      <c r="D29" s="4"/>
      <c r="E29" s="4"/>
      <c r="F29" s="37"/>
      <c r="G29" s="37"/>
      <c r="H29" s="37"/>
    </row>
    <row r="30" spans="1:8" ht="15" customHeight="1" x14ac:dyDescent="0.3">
      <c r="A30" s="16"/>
      <c r="B30" s="27" t="s">
        <v>81</v>
      </c>
      <c r="C30" s="34"/>
      <c r="D30" s="34"/>
      <c r="E30" s="34"/>
      <c r="F30" s="34"/>
      <c r="G30" s="34"/>
      <c r="H30" s="34"/>
    </row>
    <row r="31" spans="1:8" ht="15" customHeight="1" x14ac:dyDescent="0.3">
      <c r="A31" s="18"/>
      <c r="B31" s="25" t="s">
        <v>82</v>
      </c>
      <c r="C31" s="37">
        <f>'Debt Schedule'!C15</f>
        <v>270751</v>
      </c>
      <c r="D31" s="37">
        <f ca="1">'Debt Schedule'!D15</f>
        <v>275242.04606711987</v>
      </c>
      <c r="E31" s="37">
        <f ca="1">'Debt Schedule'!E15</f>
        <v>263757.39275437128</v>
      </c>
      <c r="F31" s="37">
        <f ca="1">'Debt Schedule'!F15</f>
        <v>245673.13943612971</v>
      </c>
      <c r="G31" s="37">
        <f ca="1">'Debt Schedule'!G15</f>
        <v>230119.44580002606</v>
      </c>
      <c r="H31" s="37">
        <f ca="1">'Debt Schedule'!H15</f>
        <v>207960.91286179074</v>
      </c>
    </row>
    <row r="32" spans="1:8" ht="15" customHeight="1" x14ac:dyDescent="0.3">
      <c r="A32" s="16"/>
      <c r="B32" s="27" t="s">
        <v>33</v>
      </c>
      <c r="C32" s="44">
        <f>'Balance Sheet'!C56</f>
        <v>7381</v>
      </c>
      <c r="D32" s="34">
        <f t="shared" ref="D32:H37" si="5">C32</f>
        <v>7381</v>
      </c>
      <c r="E32" s="34">
        <f t="shared" si="5"/>
        <v>7381</v>
      </c>
      <c r="F32" s="34">
        <f t="shared" si="5"/>
        <v>7381</v>
      </c>
      <c r="G32" s="34">
        <f t="shared" si="5"/>
        <v>7381</v>
      </c>
      <c r="H32" s="34">
        <f t="shared" si="5"/>
        <v>7381</v>
      </c>
    </row>
    <row r="33" spans="1:8" ht="15" customHeight="1" x14ac:dyDescent="0.3">
      <c r="A33" s="18"/>
      <c r="B33" s="25" t="s">
        <v>28</v>
      </c>
      <c r="C33" s="37">
        <f>'Balance Sheet'!C46</f>
        <v>99552</v>
      </c>
      <c r="D33" s="37">
        <f t="shared" si="5"/>
        <v>99552</v>
      </c>
      <c r="E33" s="37">
        <f t="shared" si="5"/>
        <v>99552</v>
      </c>
      <c r="F33" s="37">
        <f t="shared" si="5"/>
        <v>99552</v>
      </c>
      <c r="G33" s="37">
        <f t="shared" si="5"/>
        <v>99552</v>
      </c>
      <c r="H33" s="37">
        <f t="shared" si="5"/>
        <v>99552</v>
      </c>
    </row>
    <row r="34" spans="1:8" ht="15" customHeight="1" x14ac:dyDescent="0.3">
      <c r="A34" s="16"/>
      <c r="B34" s="27" t="s">
        <v>29</v>
      </c>
      <c r="C34" s="34">
        <f>'Balance Sheet'!C47</f>
        <v>37833</v>
      </c>
      <c r="D34" s="34">
        <f t="shared" si="5"/>
        <v>37833</v>
      </c>
      <c r="E34" s="34">
        <f t="shared" si="5"/>
        <v>37833</v>
      </c>
      <c r="F34" s="34">
        <f t="shared" si="5"/>
        <v>37833</v>
      </c>
      <c r="G34" s="34">
        <f t="shared" si="5"/>
        <v>37833</v>
      </c>
      <c r="H34" s="34">
        <f t="shared" si="5"/>
        <v>37833</v>
      </c>
    </row>
    <row r="35" spans="1:8" ht="15" customHeight="1" x14ac:dyDescent="0.3">
      <c r="A35" s="18"/>
      <c r="B35" s="25" t="s">
        <v>83</v>
      </c>
      <c r="C35" s="37">
        <f>'Balance Sheet'!C48</f>
        <v>21793</v>
      </c>
      <c r="D35" s="37">
        <f t="shared" si="5"/>
        <v>21793</v>
      </c>
      <c r="E35" s="37">
        <f t="shared" si="5"/>
        <v>21793</v>
      </c>
      <c r="F35" s="37">
        <f t="shared" si="5"/>
        <v>21793</v>
      </c>
      <c r="G35" s="37">
        <f t="shared" si="5"/>
        <v>21793</v>
      </c>
      <c r="H35" s="37">
        <f t="shared" si="5"/>
        <v>21793</v>
      </c>
    </row>
    <row r="36" spans="1:8" ht="15" customHeight="1" x14ac:dyDescent="0.3">
      <c r="A36" s="16"/>
      <c r="B36" s="27" t="s">
        <v>84</v>
      </c>
      <c r="C36" s="78">
        <f>'Balance Sheet'!C49</f>
        <v>97961</v>
      </c>
      <c r="D36" s="34">
        <f t="shared" si="5"/>
        <v>97961</v>
      </c>
      <c r="E36" s="34">
        <f t="shared" si="5"/>
        <v>97961</v>
      </c>
      <c r="F36" s="34">
        <f t="shared" si="5"/>
        <v>97961</v>
      </c>
      <c r="G36" s="34">
        <f t="shared" si="5"/>
        <v>97961</v>
      </c>
      <c r="H36" s="34">
        <f t="shared" si="5"/>
        <v>97961</v>
      </c>
    </row>
    <row r="37" spans="1:8" ht="15" customHeight="1" x14ac:dyDescent="0.3">
      <c r="A37" s="18"/>
      <c r="B37" s="25" t="s">
        <v>32</v>
      </c>
      <c r="C37" s="81">
        <f>'Balance Sheet'!C50</f>
        <v>6932</v>
      </c>
      <c r="D37" s="37">
        <f t="shared" si="5"/>
        <v>6932</v>
      </c>
      <c r="E37" s="37">
        <f t="shared" si="5"/>
        <v>6932</v>
      </c>
      <c r="F37" s="37">
        <f t="shared" si="5"/>
        <v>6932</v>
      </c>
      <c r="G37" s="37">
        <f t="shared" si="5"/>
        <v>6932</v>
      </c>
      <c r="H37" s="37">
        <f t="shared" si="5"/>
        <v>6932</v>
      </c>
    </row>
    <row r="38" spans="1:8" ht="15" customHeight="1" x14ac:dyDescent="0.3">
      <c r="A38" s="16"/>
      <c r="B38" s="27" t="s">
        <v>85</v>
      </c>
      <c r="C38" s="34">
        <f t="shared" ref="C38:H38" si="6">SUM(C31:C37)</f>
        <v>542203</v>
      </c>
      <c r="D38" s="34">
        <f t="shared" ca="1" si="6"/>
        <v>546694.04606711981</v>
      </c>
      <c r="E38" s="34">
        <f t="shared" ca="1" si="6"/>
        <v>535209.39275437128</v>
      </c>
      <c r="F38" s="34">
        <f t="shared" ca="1" si="6"/>
        <v>517125.13943612971</v>
      </c>
      <c r="G38" s="34">
        <f t="shared" ca="1" si="6"/>
        <v>501571.44580002606</v>
      </c>
      <c r="H38" s="34">
        <f t="shared" ca="1" si="6"/>
        <v>479412.91286179074</v>
      </c>
    </row>
    <row r="39" spans="1:8" ht="14.25" customHeight="1" x14ac:dyDescent="0.3">
      <c r="A39" s="28"/>
      <c r="B39" s="28"/>
      <c r="C39" s="28"/>
      <c r="D39" s="28"/>
      <c r="E39" s="28"/>
      <c r="F39" s="28"/>
      <c r="G39" s="28"/>
      <c r="H39" s="28"/>
    </row>
    <row r="40" spans="1:8" ht="15" customHeight="1" x14ac:dyDescent="0.3">
      <c r="A40" s="39" t="s">
        <v>86</v>
      </c>
      <c r="B40" s="39"/>
      <c r="C40" s="31"/>
      <c r="D40" s="31"/>
      <c r="E40" s="31"/>
      <c r="F40" s="31"/>
      <c r="G40" s="31"/>
      <c r="H40" s="31"/>
    </row>
    <row r="41" spans="1:8" ht="15" customHeight="1" x14ac:dyDescent="0.3">
      <c r="A41" s="39" t="s">
        <v>81</v>
      </c>
      <c r="B41" s="39"/>
      <c r="C41" s="31"/>
      <c r="D41" s="31"/>
      <c r="E41" s="31"/>
      <c r="F41" s="31"/>
      <c r="G41" s="31"/>
      <c r="H41" s="31"/>
    </row>
    <row r="42" spans="1:8" ht="15" customHeight="1" x14ac:dyDescent="0.3">
      <c r="A42" s="18" t="s">
        <v>82</v>
      </c>
      <c r="B42" s="18"/>
      <c r="C42" s="37">
        <f>'Debt Schedule'!C16</f>
        <v>103670</v>
      </c>
      <c r="D42" s="37">
        <f ca="1">'Debt Schedule'!D16</f>
        <v>105389.61228500842</v>
      </c>
      <c r="E42" s="37">
        <f ca="1">'Debt Schedule'!E16</f>
        <v>100992.16219643014</v>
      </c>
      <c r="F42" s="37">
        <f ca="1">'Debt Schedule'!F16</f>
        <v>94067.73886465258</v>
      </c>
      <c r="G42" s="37">
        <f ca="1">'Debt Schedule'!G16</f>
        <v>88112.261620783247</v>
      </c>
      <c r="H42" s="37">
        <f ca="1">'Debt Schedule'!H16</f>
        <v>79627.805017834937</v>
      </c>
    </row>
    <row r="43" spans="1:8" ht="14.25" customHeight="1" x14ac:dyDescent="0.3">
      <c r="A43" s="28"/>
      <c r="B43" s="28"/>
      <c r="C43" s="28"/>
      <c r="D43" s="28"/>
      <c r="E43" s="28"/>
      <c r="F43" s="28"/>
      <c r="G43" s="28"/>
      <c r="H43" s="28"/>
    </row>
    <row r="44" spans="1:8" ht="15" customHeight="1" x14ac:dyDescent="0.3">
      <c r="A44" s="16" t="s">
        <v>33</v>
      </c>
      <c r="B44" s="16"/>
      <c r="C44" s="78">
        <f>'Balance Sheet'!C45</f>
        <v>16198</v>
      </c>
      <c r="D44" s="34">
        <f>C44</f>
        <v>16198</v>
      </c>
      <c r="E44" s="34">
        <f>D44</f>
        <v>16198</v>
      </c>
      <c r="F44" s="34">
        <f>E44</f>
        <v>16198</v>
      </c>
      <c r="G44" s="34">
        <f>F44</f>
        <v>16198</v>
      </c>
      <c r="H44" s="34">
        <f>G44</f>
        <v>16198</v>
      </c>
    </row>
    <row r="45" spans="1:8" ht="15" customHeight="1" x14ac:dyDescent="0.3">
      <c r="A45" s="18" t="s">
        <v>87</v>
      </c>
      <c r="B45" s="18"/>
      <c r="C45" s="81">
        <f>'Balance Sheet'!C57</f>
        <v>158842</v>
      </c>
      <c r="D45" s="37">
        <f>(-'Projected Profit and Loss'!D7*Assumptions!C13)/365</f>
        <v>169727.44868561867</v>
      </c>
      <c r="E45" s="37">
        <f>(-'Projected Profit and Loss'!E7*Assumptions!D13)/365</f>
        <v>195130.9106683938</v>
      </c>
      <c r="F45" s="37">
        <f>(-'Projected Profit and Loss'!F7*Assumptions!E13)/365</f>
        <v>221849.80058177758</v>
      </c>
      <c r="G45" s="37">
        <f>(-'Projected Profit and Loss'!G7*Assumptions!F13)/365</f>
        <v>232251.08173112868</v>
      </c>
      <c r="H45" s="37">
        <f>(-'Projected Profit and Loss'!H7*Assumptions!G13)/365</f>
        <v>241980.04117124787</v>
      </c>
    </row>
    <row r="46" spans="1:8" ht="15" customHeight="1" x14ac:dyDescent="0.3">
      <c r="A46" s="16" t="s">
        <v>29</v>
      </c>
      <c r="B46" s="16"/>
      <c r="C46" s="78">
        <f>'Balance Sheet'!C58</f>
        <v>64660</v>
      </c>
      <c r="D46" s="34">
        <f t="shared" ref="D46:H48" si="7">C46</f>
        <v>64660</v>
      </c>
      <c r="E46" s="34">
        <f t="shared" si="7"/>
        <v>64660</v>
      </c>
      <c r="F46" s="34">
        <f t="shared" si="7"/>
        <v>64660</v>
      </c>
      <c r="G46" s="34">
        <f t="shared" si="7"/>
        <v>64660</v>
      </c>
      <c r="H46" s="34">
        <f t="shared" si="7"/>
        <v>64660</v>
      </c>
    </row>
    <row r="47" spans="1:8" ht="15" customHeight="1" x14ac:dyDescent="0.3">
      <c r="A47" s="18" t="s">
        <v>34</v>
      </c>
      <c r="B47" s="18"/>
      <c r="C47" s="81">
        <f>'Balance Sheet'!C59</f>
        <v>201503</v>
      </c>
      <c r="D47" s="37">
        <f t="shared" si="7"/>
        <v>201503</v>
      </c>
      <c r="E47" s="37">
        <f t="shared" si="7"/>
        <v>201503</v>
      </c>
      <c r="F47" s="37">
        <f t="shared" si="7"/>
        <v>201503</v>
      </c>
      <c r="G47" s="37">
        <f t="shared" si="7"/>
        <v>201503</v>
      </c>
      <c r="H47" s="37">
        <f t="shared" si="7"/>
        <v>201503</v>
      </c>
    </row>
    <row r="48" spans="1:8" ht="15" customHeight="1" x14ac:dyDescent="0.3">
      <c r="A48" s="16" t="s">
        <v>83</v>
      </c>
      <c r="B48" s="16"/>
      <c r="C48" s="78">
        <f>'Balance Sheet'!C60</f>
        <v>5198</v>
      </c>
      <c r="D48" s="34">
        <f t="shared" si="7"/>
        <v>5198</v>
      </c>
      <c r="E48" s="34">
        <f t="shared" si="7"/>
        <v>5198</v>
      </c>
      <c r="F48" s="34">
        <f t="shared" si="7"/>
        <v>5198</v>
      </c>
      <c r="G48" s="34">
        <f t="shared" si="7"/>
        <v>5198</v>
      </c>
      <c r="H48" s="34">
        <f t="shared" si="7"/>
        <v>5198</v>
      </c>
    </row>
    <row r="49" spans="1:8" ht="15.75" customHeight="1" x14ac:dyDescent="0.3">
      <c r="A49" s="51" t="s">
        <v>88</v>
      </c>
      <c r="B49" s="51"/>
      <c r="C49" s="43">
        <f t="shared" ref="C49:H49" si="8">SUM(C42:C48)</f>
        <v>550071</v>
      </c>
      <c r="D49" s="43">
        <f t="shared" ca="1" si="8"/>
        <v>562676.06097062712</v>
      </c>
      <c r="E49" s="43">
        <f t="shared" ca="1" si="8"/>
        <v>583682.07286482397</v>
      </c>
      <c r="F49" s="43">
        <f t="shared" ca="1" si="8"/>
        <v>603476.53944643016</v>
      </c>
      <c r="G49" s="43">
        <f t="shared" ca="1" si="8"/>
        <v>607922.34335191199</v>
      </c>
      <c r="H49" s="43">
        <f t="shared" ca="1" si="8"/>
        <v>609166.84618908283</v>
      </c>
    </row>
    <row r="50" spans="1:8" ht="14.25" customHeight="1" x14ac:dyDescent="0.3">
      <c r="A50" s="15"/>
      <c r="B50" s="15"/>
      <c r="C50" s="15"/>
      <c r="D50" s="15"/>
      <c r="E50" s="15"/>
      <c r="F50" s="15"/>
      <c r="G50" s="15"/>
      <c r="H50" s="15"/>
    </row>
    <row r="51" spans="1:8" ht="15.75" customHeight="1" x14ac:dyDescent="0.3">
      <c r="A51" s="51" t="s">
        <v>89</v>
      </c>
      <c r="B51" s="51"/>
      <c r="C51" s="43">
        <f t="shared" ref="C51:H51" si="9">C38+C49</f>
        <v>1092274</v>
      </c>
      <c r="D51" s="43">
        <f t="shared" ca="1" si="9"/>
        <v>1109370.1070377468</v>
      </c>
      <c r="E51" s="43">
        <f t="shared" ca="1" si="9"/>
        <v>1118891.4656191953</v>
      </c>
      <c r="F51" s="43">
        <f t="shared" ca="1" si="9"/>
        <v>1120601.6788825598</v>
      </c>
      <c r="G51" s="43">
        <f t="shared" ca="1" si="9"/>
        <v>1109493.7891519382</v>
      </c>
      <c r="H51" s="43">
        <f t="shared" ca="1" si="9"/>
        <v>1088579.7590508736</v>
      </c>
    </row>
    <row r="52" spans="1:8" ht="15.75" customHeight="1" x14ac:dyDescent="0.3">
      <c r="A52" s="51" t="s">
        <v>90</v>
      </c>
      <c r="B52" s="51"/>
      <c r="C52" s="43">
        <f t="shared" ref="C52:H52" si="10">C27+C51</f>
        <v>2178140</v>
      </c>
      <c r="D52" s="43">
        <f t="shared" ca="1" si="10"/>
        <v>2288789.2739793304</v>
      </c>
      <c r="E52" s="43">
        <f t="shared" ca="1" si="10"/>
        <v>2397401.9007759644</v>
      </c>
      <c r="F52" s="43">
        <f t="shared" ca="1" si="10"/>
        <v>2504304.1331790169</v>
      </c>
      <c r="G52" s="43">
        <f t="shared" ca="1" si="10"/>
        <v>2604334.1395224268</v>
      </c>
      <c r="H52" s="43">
        <f t="shared" ca="1" si="10"/>
        <v>2700280.2059594672</v>
      </c>
    </row>
    <row r="53" spans="1:8" ht="14.25" customHeight="1" x14ac:dyDescent="0.3">
      <c r="A53" s="15"/>
      <c r="B53" s="15"/>
      <c r="C53" s="15"/>
      <c r="D53" s="15"/>
      <c r="E53" s="15"/>
      <c r="F53" s="15"/>
      <c r="G53" s="15"/>
      <c r="H53" s="15"/>
    </row>
    <row r="54" spans="1:8" ht="15.75" customHeight="1" x14ac:dyDescent="0.3">
      <c r="A54" s="51" t="s">
        <v>271</v>
      </c>
      <c r="B54" s="51"/>
      <c r="C54" s="43">
        <f t="shared" ref="C54:H54" si="11">C20-C52</f>
        <v>0</v>
      </c>
      <c r="D54" s="43">
        <f t="shared" ca="1" si="11"/>
        <v>0</v>
      </c>
      <c r="E54" s="43">
        <f t="shared" ca="1" si="11"/>
        <v>0</v>
      </c>
      <c r="F54" s="43">
        <f t="shared" ca="1" si="11"/>
        <v>0</v>
      </c>
      <c r="G54" s="43">
        <f t="shared" ca="1" si="11"/>
        <v>2.514570951461792E-8</v>
      </c>
      <c r="H54" s="43">
        <f t="shared" ca="1" si="11"/>
        <v>1.1641532182693481E-7</v>
      </c>
    </row>
  </sheetData>
  <mergeCells count="1">
    <mergeCell ref="B29:E29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8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8.6640625" defaultRowHeight="14.4" x14ac:dyDescent="0.3"/>
  <cols>
    <col min="1" max="1" width="52" customWidth="1"/>
    <col min="2" max="2" width="4" customWidth="1"/>
    <col min="3" max="8" width="14" customWidth="1"/>
  </cols>
  <sheetData>
    <row r="1" spans="1:8" ht="15.75" customHeight="1" x14ac:dyDescent="0.3">
      <c r="A1" s="74" t="s">
        <v>272</v>
      </c>
    </row>
    <row r="3" spans="1:8" ht="14.25" customHeight="1" x14ac:dyDescent="0.3">
      <c r="B3" s="83" t="s">
        <v>43</v>
      </c>
      <c r="C3" s="83" t="s">
        <v>248</v>
      </c>
      <c r="D3" s="83" t="s">
        <v>4</v>
      </c>
      <c r="E3" s="83" t="s">
        <v>5</v>
      </c>
      <c r="F3" s="83" t="s">
        <v>6</v>
      </c>
      <c r="G3" s="83" t="s">
        <v>7</v>
      </c>
      <c r="H3" s="83" t="s">
        <v>8</v>
      </c>
    </row>
    <row r="4" spans="1:8" ht="21.75" customHeight="1" x14ac:dyDescent="0.3">
      <c r="A4" s="14"/>
      <c r="B4" s="14"/>
      <c r="C4" s="14"/>
      <c r="D4" s="14"/>
      <c r="E4" s="14"/>
      <c r="F4" s="14"/>
      <c r="G4" s="14"/>
      <c r="H4" s="14"/>
    </row>
    <row r="5" spans="1:8" ht="15" customHeight="1" x14ac:dyDescent="0.3">
      <c r="A5" s="16" t="s">
        <v>273</v>
      </c>
      <c r="B5" s="16"/>
      <c r="C5" s="78">
        <f>'Balance Sheet'!D44+'Balance Sheet'!D55</f>
        <v>347530</v>
      </c>
      <c r="D5" s="34">
        <f>C12</f>
        <v>374421</v>
      </c>
      <c r="E5" s="34">
        <f ca="1">D12</f>
        <v>380631.65835212829</v>
      </c>
      <c r="F5" s="34">
        <f ca="1">E12</f>
        <v>364749.55495080136</v>
      </c>
      <c r="G5" s="34">
        <f ca="1">F12</f>
        <v>339740.87830078218</v>
      </c>
      <c r="H5" s="34">
        <f ca="1">G12</f>
        <v>318231.7074208319</v>
      </c>
    </row>
    <row r="6" spans="1:8" ht="15" customHeight="1" x14ac:dyDescent="0.3">
      <c r="A6" s="84" t="s">
        <v>274</v>
      </c>
      <c r="B6" s="18"/>
      <c r="C6" s="81">
        <f>'Projected Cash Flow'!C12+'Projected Cash Flow'!C16+'Projected Cash Flow'!C19+'Projected Cash Flow'!C20</f>
        <v>-43634.014121253684</v>
      </c>
      <c r="D6" s="37">
        <f ca="1">'Projected Cash Flow'!D12+'Projected Cash Flow'!D16+'Projected Cash Flow'!D19+'Projected Cash Flow'!D20</f>
        <v>-6210.6583521282628</v>
      </c>
      <c r="E6" s="37">
        <f ca="1">'Projected Cash Flow'!E12+'Projected Cash Flow'!E16+'Projected Cash Flow'!E19+'Projected Cash Flow'!E20</f>
        <v>31764.206802653709</v>
      </c>
      <c r="F6" s="37">
        <f ca="1">'Projected Cash Flow'!F12+'Projected Cash Flow'!F16+'Projected Cash Flow'!F19+'Projected Cash Flow'!F20</f>
        <v>50017.353300038114</v>
      </c>
      <c r="G6" s="37">
        <f ca="1">'Projected Cash Flow'!G12+'Projected Cash Flow'!G16+'Projected Cash Flow'!G19+'Projected Cash Flow'!G20</f>
        <v>43018.341759945703</v>
      </c>
      <c r="H6" s="37">
        <f ca="1">'Projected Cash Flow'!H12+'Projected Cash Flow'!H16+'Projected Cash Flow'!H19+'Projected Cash Flow'!H20</f>
        <v>61285.979082412458</v>
      </c>
    </row>
    <row r="7" spans="1:8" ht="20.25" customHeight="1" x14ac:dyDescent="0.3">
      <c r="A7" s="85" t="s">
        <v>275</v>
      </c>
      <c r="B7" s="28"/>
      <c r="C7" s="28"/>
      <c r="D7" s="28"/>
      <c r="E7" s="28"/>
      <c r="F7" s="28"/>
      <c r="G7" s="28"/>
      <c r="H7" s="28"/>
    </row>
    <row r="8" spans="1:8" ht="14.25" customHeight="1" x14ac:dyDescent="0.3">
      <c r="A8" s="15"/>
      <c r="B8" s="15"/>
      <c r="C8" s="15"/>
      <c r="D8" s="15"/>
      <c r="E8" s="15"/>
      <c r="F8" s="15"/>
      <c r="G8" s="15"/>
      <c r="H8" s="15"/>
    </row>
    <row r="9" spans="1:8" ht="15.75" customHeight="1" x14ac:dyDescent="0.3">
      <c r="A9" s="51" t="s">
        <v>276</v>
      </c>
      <c r="B9" s="51"/>
      <c r="C9" s="43">
        <f t="shared" ref="C9:H9" si="0">IF(C6&gt;0,-MIN(C6*0.5,C5),-C6)</f>
        <v>43634.014121253684</v>
      </c>
      <c r="D9" s="43">
        <f t="shared" ca="1" si="0"/>
        <v>6210.6583521282628</v>
      </c>
      <c r="E9" s="43">
        <f t="shared" ca="1" si="0"/>
        <v>-15882.103401326855</v>
      </c>
      <c r="F9" s="43">
        <f t="shared" ca="1" si="0"/>
        <v>-25008.676650019057</v>
      </c>
      <c r="G9" s="43">
        <f t="shared" ca="1" si="0"/>
        <v>-21509.170879972851</v>
      </c>
      <c r="H9" s="43">
        <f t="shared" ca="1" si="0"/>
        <v>-30642.989541206229</v>
      </c>
    </row>
    <row r="10" spans="1:8" ht="27.75" customHeight="1" x14ac:dyDescent="0.3">
      <c r="A10" s="85" t="s">
        <v>277</v>
      </c>
      <c r="B10" s="28"/>
      <c r="C10" s="28"/>
      <c r="D10" s="28"/>
      <c r="E10" s="28"/>
      <c r="F10" s="28"/>
      <c r="G10" s="28"/>
      <c r="H10" s="28"/>
    </row>
    <row r="11" spans="1:8" ht="14.25" customHeight="1" x14ac:dyDescent="0.3">
      <c r="A11" s="15"/>
      <c r="B11" s="15"/>
      <c r="C11" s="15"/>
      <c r="D11" s="15"/>
      <c r="E11" s="15"/>
      <c r="F11" s="15"/>
      <c r="G11" s="15"/>
      <c r="H11" s="15"/>
    </row>
    <row r="12" spans="1:8" ht="15.75" customHeight="1" x14ac:dyDescent="0.3">
      <c r="A12" s="51" t="s">
        <v>278</v>
      </c>
      <c r="B12" s="51"/>
      <c r="C12" s="43">
        <f>C15+C16</f>
        <v>374421</v>
      </c>
      <c r="D12" s="43">
        <f ca="1">MAX(0,D5+D9)</f>
        <v>380631.65835212829</v>
      </c>
      <c r="E12" s="43">
        <f ca="1">MAX(0,E5+E9)</f>
        <v>364749.55495080142</v>
      </c>
      <c r="F12" s="43">
        <f ca="1">MAX(0,F5+F9)</f>
        <v>339740.87830078229</v>
      </c>
      <c r="G12" s="43">
        <f ca="1">MAX(0,G5+G9)</f>
        <v>318231.70742080931</v>
      </c>
      <c r="H12" s="43">
        <f ca="1">MAX(0,H5+H9)</f>
        <v>287588.71787962568</v>
      </c>
    </row>
    <row r="13" spans="1:8" ht="14.25" customHeight="1" x14ac:dyDescent="0.3">
      <c r="A13" s="15"/>
      <c r="B13" s="15"/>
      <c r="C13" s="15"/>
      <c r="D13" s="15"/>
      <c r="E13" s="15"/>
      <c r="F13" s="15"/>
      <c r="G13" s="15"/>
      <c r="H13" s="15"/>
    </row>
    <row r="14" spans="1:8" ht="15" customHeight="1" x14ac:dyDescent="0.3">
      <c r="A14" s="16" t="s">
        <v>279</v>
      </c>
      <c r="B14" s="16"/>
      <c r="C14" s="34"/>
      <c r="D14" s="34"/>
      <c r="E14" s="34"/>
      <c r="F14" s="34"/>
      <c r="G14" s="34"/>
      <c r="H14" s="34"/>
    </row>
    <row r="15" spans="1:8" ht="15" customHeight="1" x14ac:dyDescent="0.3">
      <c r="A15" s="18" t="s">
        <v>280</v>
      </c>
      <c r="B15" s="18"/>
      <c r="C15" s="81">
        <f>'Balance Sheet'!C44</f>
        <v>270751</v>
      </c>
      <c r="D15" s="22">
        <f ca="1">(C15/(C15+C16))*D12</f>
        <v>275242.04606711987</v>
      </c>
      <c r="E15" s="22">
        <f ca="1">(D15/(D15+D16))*E12</f>
        <v>263757.39275437128</v>
      </c>
      <c r="F15" s="22">
        <f ca="1">(E15/(E15+E16))*F12</f>
        <v>245673.13943612971</v>
      </c>
      <c r="G15" s="22">
        <f ca="1">(F15/(F15+F16))*G12</f>
        <v>230119.44580002606</v>
      </c>
      <c r="H15" s="22">
        <f ca="1">(G15/(G15+G16))*H12</f>
        <v>207960.91286179074</v>
      </c>
    </row>
    <row r="16" spans="1:8" ht="15" customHeight="1" x14ac:dyDescent="0.3">
      <c r="A16" s="16" t="s">
        <v>281</v>
      </c>
      <c r="B16" s="16"/>
      <c r="C16" s="78">
        <f>'Balance Sheet'!C55</f>
        <v>103670</v>
      </c>
      <c r="D16" s="34">
        <f ca="1">D12-D15</f>
        <v>105389.61228500842</v>
      </c>
      <c r="E16" s="34">
        <f ca="1">E12-E15</f>
        <v>100992.16219643014</v>
      </c>
      <c r="F16" s="34">
        <f ca="1">F12-F15</f>
        <v>94067.73886465258</v>
      </c>
      <c r="G16" s="34">
        <f ca="1">G12-G15</f>
        <v>88112.261620783247</v>
      </c>
      <c r="H16" s="34">
        <f ca="1">H12-H15</f>
        <v>79627.805017834937</v>
      </c>
    </row>
    <row r="17" spans="1:8" ht="14.25" customHeight="1" x14ac:dyDescent="0.3">
      <c r="A17" s="15"/>
      <c r="B17" s="15"/>
      <c r="C17" s="15"/>
      <c r="D17" s="15"/>
      <c r="E17" s="15"/>
      <c r="F17" s="15"/>
      <c r="G17" s="15"/>
      <c r="H17" s="15"/>
    </row>
    <row r="18" spans="1:8" ht="15" customHeight="1" x14ac:dyDescent="0.3">
      <c r="A18" s="18" t="s">
        <v>282</v>
      </c>
      <c r="B18" s="18"/>
      <c r="C18" s="37">
        <f>((C5+C12)/2)*Assumptions!B15</f>
        <v>26421.316502458329</v>
      </c>
      <c r="D18" s="37">
        <f ca="1">((D5+D12)/2)*Assumptions!C15</f>
        <v>27632.741366580442</v>
      </c>
      <c r="E18" s="37">
        <f ca="1">((E5+E12)/2)*Assumptions!D15</f>
        <v>27278.794477274922</v>
      </c>
      <c r="F18" s="37">
        <f ca="1">((F5+F12)/2)*Assumptions!E15</f>
        <v>25782.310309001703</v>
      </c>
      <c r="G18" s="37">
        <f ca="1">((G5+G12)/2)*Assumptions!F15</f>
        <v>24079.891761755389</v>
      </c>
      <c r="H18" s="37">
        <f ca="1">((H5+H12)/2)*Assumptions!G15</f>
        <v>22171.27367441461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4:H19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8.6640625" defaultRowHeight="14.4" x14ac:dyDescent="0.3"/>
  <cols>
    <col min="1" max="1" width="4" customWidth="1"/>
    <col min="2" max="2" width="48" customWidth="1"/>
    <col min="3" max="8" width="14" customWidth="1"/>
  </cols>
  <sheetData>
    <row r="4" spans="1:8" ht="21.75" customHeight="1" x14ac:dyDescent="0.3">
      <c r="A4" s="14"/>
      <c r="B4" s="14"/>
      <c r="C4" s="14" t="s">
        <v>248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</row>
    <row r="5" spans="1:8" ht="14.25" customHeight="1" x14ac:dyDescent="0.3">
      <c r="A5" s="15"/>
      <c r="B5" s="15"/>
      <c r="C5" s="15"/>
      <c r="D5" s="15"/>
      <c r="E5" s="15"/>
      <c r="F5" s="15"/>
      <c r="G5" s="15"/>
      <c r="H5" s="15"/>
    </row>
    <row r="6" spans="1:8" ht="15" customHeight="1" x14ac:dyDescent="0.3">
      <c r="A6" s="16"/>
      <c r="B6" s="16" t="s">
        <v>105</v>
      </c>
      <c r="C6" s="44">
        <f>'Profit &amp; Loss'!C10</f>
        <v>1075675</v>
      </c>
      <c r="D6" s="44">
        <f>C6*(1+Assumptions!C6)</f>
        <v>1145689.228656685</v>
      </c>
      <c r="E6" s="44">
        <f>D6*(1+Assumptions!D6)</f>
        <v>1214532.14247312</v>
      </c>
      <c r="F6" s="44">
        <f>E6*(1+Assumptions!E6)</f>
        <v>1281439.0730148344</v>
      </c>
      <c r="G6" s="44">
        <f>F6*(1+Assumptions!F6)</f>
        <v>1345624.6203638872</v>
      </c>
      <c r="H6" s="44">
        <f>G6*(1+Assumptions!G6)</f>
        <v>1406297.0117330495</v>
      </c>
    </row>
    <row r="7" spans="1:8" ht="15" customHeight="1" x14ac:dyDescent="0.3">
      <c r="A7" s="18"/>
      <c r="B7" s="18" t="s">
        <v>283</v>
      </c>
      <c r="C7" s="22">
        <f>-SUM('Profit &amp; Loss'!C15:C18)</f>
        <v>-707119</v>
      </c>
      <c r="D7" s="22">
        <f>-Assumptions!C7*'Projected Profit and Loss'!D6</f>
        <v>-755494.13134452223</v>
      </c>
      <c r="E7" s="22">
        <f>-Assumptions!D7*'Projected Profit and Loss'!E6</f>
        <v>-798461.68603098358</v>
      </c>
      <c r="F7" s="22">
        <f>-Assumptions!E7*'Projected Profit and Loss'!F6</f>
        <v>-839884.98058410711</v>
      </c>
      <c r="G7" s="22">
        <f>-Assumptions!F7*'Projected Profit and Loss'!G6</f>
        <v>-879262.43232516642</v>
      </c>
      <c r="H7" s="22">
        <f>-Assumptions!G7*'Projected Profit and Loss'!H6</f>
        <v>-916094.59033946239</v>
      </c>
    </row>
    <row r="8" spans="1:8" ht="15" customHeight="1" x14ac:dyDescent="0.3">
      <c r="A8" s="16"/>
      <c r="B8" s="16" t="s">
        <v>284</v>
      </c>
      <c r="C8" s="44">
        <f t="shared" ref="C8:H8" si="0">SUM(C6:C7)</f>
        <v>368556</v>
      </c>
      <c r="D8" s="44">
        <f t="shared" si="0"/>
        <v>390195.09731216275</v>
      </c>
      <c r="E8" s="44">
        <f t="shared" si="0"/>
        <v>416070.45644213643</v>
      </c>
      <c r="F8" s="44">
        <f t="shared" si="0"/>
        <v>441554.09243072732</v>
      </c>
      <c r="G8" s="44">
        <f t="shared" si="0"/>
        <v>466362.18803872075</v>
      </c>
      <c r="H8" s="44">
        <f t="shared" si="0"/>
        <v>490202.42139358714</v>
      </c>
    </row>
    <row r="9" spans="1:8" ht="15" customHeight="1" x14ac:dyDescent="0.3">
      <c r="A9" s="18"/>
      <c r="B9" s="18" t="s">
        <v>285</v>
      </c>
      <c r="C9" s="22">
        <f>-SUM('Profit &amp; Loss'!C19,'Profit &amp; Loss'!C22)</f>
        <v>-189607</v>
      </c>
      <c r="D9" s="22">
        <f>-Assumptions!C8*'Projected Profit and Loss'!D6</f>
        <v>-195410.58642987412</v>
      </c>
      <c r="E9" s="22">
        <f>-Assumptions!D8*'Projected Profit and Loss'!E6</f>
        <v>-207152.54386817873</v>
      </c>
      <c r="F9" s="22">
        <f>-Assumptions!E8*'Projected Profit and Loss'!F6</f>
        <v>-218564.29690412973</v>
      </c>
      <c r="G9" s="22">
        <f>-Assumptions!F8*'Projected Profit and Loss'!G6</f>
        <v>-229511.8864721201</v>
      </c>
      <c r="H9" s="22">
        <f>-Assumptions!G8*'Projected Profit and Loss'!H6</f>
        <v>-239860.26653976896</v>
      </c>
    </row>
    <row r="10" spans="1:8" ht="15" customHeight="1" x14ac:dyDescent="0.3">
      <c r="A10" s="16"/>
      <c r="B10" s="16" t="s">
        <v>286</v>
      </c>
      <c r="C10" s="44">
        <f>-SUM('Profit &amp; Loss'!C21)</f>
        <v>-57688</v>
      </c>
      <c r="D10" s="44">
        <f>-Assumptions!C9*'Projected Profit and Loss'!D6</f>
        <v>-60906.644717185132</v>
      </c>
      <c r="E10" s="44">
        <f>-Assumptions!D9*'Projected Profit and Loss'!E6</f>
        <v>-65780.97463748118</v>
      </c>
      <c r="F10" s="44">
        <f>-Assumptions!E9*'Projected Profit and Loss'!F6</f>
        <v>-70686.198497347505</v>
      </c>
      <c r="G10" s="44">
        <f>-Assumptions!F9*'Projected Profit and Loss'!G6</f>
        <v>-75572.399049973072</v>
      </c>
      <c r="H10" s="44">
        <f>-Assumptions!G9*'Projected Profit and Loss'!H6</f>
        <v>-80386.153165624564</v>
      </c>
    </row>
    <row r="11" spans="1:8" ht="15" customHeight="1" x14ac:dyDescent="0.3">
      <c r="A11" s="18"/>
      <c r="B11" s="18" t="s">
        <v>287</v>
      </c>
      <c r="C11" s="22">
        <f t="shared" ref="C11:H11" si="1">SUM(C8:C10)</f>
        <v>121261</v>
      </c>
      <c r="D11" s="22">
        <f t="shared" si="1"/>
        <v>133877.86616510351</v>
      </c>
      <c r="E11" s="22">
        <f t="shared" si="1"/>
        <v>143136.93793647652</v>
      </c>
      <c r="F11" s="22">
        <f t="shared" si="1"/>
        <v>152303.59702925009</v>
      </c>
      <c r="G11" s="22">
        <f t="shared" si="1"/>
        <v>161277.90251662757</v>
      </c>
      <c r="H11" s="22">
        <f t="shared" si="1"/>
        <v>169956.00168819362</v>
      </c>
    </row>
    <row r="12" spans="1:8" ht="15" customHeight="1" x14ac:dyDescent="0.3">
      <c r="A12" s="16"/>
      <c r="B12" s="16" t="s">
        <v>288</v>
      </c>
      <c r="C12" s="34">
        <f>-'Profit &amp; Loss'!C20</f>
        <v>-27061</v>
      </c>
      <c r="D12" s="34">
        <f ca="1">-'Debt Schedule'!D18</f>
        <v>-27632.741366580442</v>
      </c>
      <c r="E12" s="34">
        <f ca="1">-'Debt Schedule'!E18</f>
        <v>-27278.794477274922</v>
      </c>
      <c r="F12" s="34">
        <f ca="1">-'Debt Schedule'!F18</f>
        <v>-25782.310309001703</v>
      </c>
      <c r="G12" s="34">
        <f ca="1">-'Debt Schedule'!G18</f>
        <v>-24079.891761755389</v>
      </c>
      <c r="H12" s="34">
        <f ca="1">-'Debt Schedule'!H18</f>
        <v>-22171.27367441461</v>
      </c>
    </row>
    <row r="13" spans="1:8" ht="15" customHeight="1" x14ac:dyDescent="0.3">
      <c r="A13" s="18"/>
      <c r="B13" s="18" t="s">
        <v>289</v>
      </c>
      <c r="C13" s="37">
        <f>'Profit &amp; Loss'!C11</f>
        <v>28962</v>
      </c>
      <c r="D13" s="37">
        <f>C13</f>
        <v>28962</v>
      </c>
      <c r="E13" s="37">
        <f>D13</f>
        <v>28962</v>
      </c>
      <c r="F13" s="37">
        <f>E13</f>
        <v>28962</v>
      </c>
      <c r="G13" s="37">
        <f>F13</f>
        <v>28962</v>
      </c>
      <c r="H13" s="37">
        <f>G13</f>
        <v>28962</v>
      </c>
    </row>
    <row r="14" spans="1:8" ht="15" customHeight="1" x14ac:dyDescent="0.3">
      <c r="A14" s="16"/>
      <c r="B14" s="16" t="s">
        <v>290</v>
      </c>
      <c r="C14" s="34">
        <f t="shared" ref="C14:H14" si="2">SUM(C11:C13)</f>
        <v>123162</v>
      </c>
      <c r="D14" s="34">
        <f t="shared" ca="1" si="2"/>
        <v>135207.12479852306</v>
      </c>
      <c r="E14" s="34">
        <f t="shared" ca="1" si="2"/>
        <v>144820.14345920162</v>
      </c>
      <c r="F14" s="34">
        <f t="shared" ca="1" si="2"/>
        <v>155483.28672024838</v>
      </c>
      <c r="G14" s="34">
        <f t="shared" ca="1" si="2"/>
        <v>166160.01075487217</v>
      </c>
      <c r="H14" s="34">
        <f t="shared" ca="1" si="2"/>
        <v>176746.72801377901</v>
      </c>
    </row>
    <row r="15" spans="1:8" ht="15" customHeight="1" x14ac:dyDescent="0.3">
      <c r="A15" s="18"/>
      <c r="B15" s="18" t="s">
        <v>291</v>
      </c>
      <c r="C15" s="22">
        <f>-SUM('Profit &amp; Loss'!C28:C29)</f>
        <v>-27552</v>
      </c>
      <c r="D15" s="37">
        <f ca="1">-Assumptions!C10*'Projected Profit and Loss'!D14</f>
        <v>-31259.161530097001</v>
      </c>
      <c r="E15" s="37">
        <f ca="1">-Assumptions!D10*'Projected Profit and Loss'!E14</f>
        <v>-33481.63984663369</v>
      </c>
      <c r="F15" s="37">
        <f ca="1">-Assumptions!E10*'Projected Profit and Loss'!F14</f>
        <v>-35946.901334238872</v>
      </c>
      <c r="G15" s="37">
        <f ca="1">-Assumptions!F10*'Projected Profit and Loss'!G14</f>
        <v>-38415.302623800351</v>
      </c>
      <c r="H15" s="37">
        <f ca="1">-Assumptions!G10*'Projected Profit and Loss'!H14</f>
        <v>-40862.894829926823</v>
      </c>
    </row>
    <row r="16" spans="1:8" ht="15" customHeight="1" x14ac:dyDescent="0.3">
      <c r="A16" s="16"/>
      <c r="B16" s="16" t="s">
        <v>122</v>
      </c>
      <c r="C16" s="34">
        <f t="shared" ref="C16:H16" si="3">SUM(C14:C15)</f>
        <v>95610</v>
      </c>
      <c r="D16" s="34">
        <f t="shared" ca="1" si="3"/>
        <v>103947.96326842606</v>
      </c>
      <c r="E16" s="34">
        <f t="shared" ca="1" si="3"/>
        <v>111338.50361256793</v>
      </c>
      <c r="F16" s="34">
        <f t="shared" ca="1" si="3"/>
        <v>119536.3853860095</v>
      </c>
      <c r="G16" s="34">
        <f t="shared" ca="1" si="3"/>
        <v>127744.70813107182</v>
      </c>
      <c r="H16" s="34">
        <f t="shared" ca="1" si="3"/>
        <v>135883.8331838522</v>
      </c>
    </row>
    <row r="17" spans="1:8" ht="14.25" customHeight="1" x14ac:dyDescent="0.3">
      <c r="A17" s="15"/>
      <c r="B17" s="15"/>
      <c r="C17" s="15"/>
      <c r="D17" s="15"/>
      <c r="E17" s="15"/>
      <c r="F17" s="15"/>
      <c r="G17" s="15"/>
      <c r="H17" s="15"/>
    </row>
    <row r="18" spans="1:8" ht="14.25" customHeight="1" x14ac:dyDescent="0.3">
      <c r="A18" s="15"/>
      <c r="B18" s="15"/>
      <c r="C18" s="15"/>
      <c r="D18" s="15"/>
      <c r="E18" s="15"/>
      <c r="F18" s="15"/>
      <c r="G18" s="15"/>
      <c r="H18" s="15"/>
    </row>
    <row r="19" spans="1:8" ht="15" customHeight="1" x14ac:dyDescent="0.3">
      <c r="A19" s="18"/>
      <c r="B19" s="18" t="s">
        <v>292</v>
      </c>
      <c r="C19" s="22">
        <f>-'Cash Flow Statement'!B27</f>
        <v>122916</v>
      </c>
      <c r="D19" s="37">
        <f>D6*Assumptions!C14</f>
        <v>155365.35892727433</v>
      </c>
      <c r="E19" s="37">
        <f>E6*Assumptions!D14</f>
        <v>152555.73146488456</v>
      </c>
      <c r="F19" s="37">
        <f>F6*Assumptions!E14</f>
        <v>148145.42933141772</v>
      </c>
      <c r="G19" s="37">
        <f>G6*Assumptions!F14</f>
        <v>142109.58700740003</v>
      </c>
      <c r="H19" s="37">
        <f>H6*Assumptions!G14</f>
        <v>134454.14566870575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82"/>
  <sheetViews>
    <sheetView tabSelected="1" zoomScale="88" zoomScaleNormal="88" workbookViewId="0">
      <pane xSplit="2" ySplit="5" topLeftCell="C63" activePane="bottomRight" state="frozen"/>
      <selection pane="topRight" activeCell="C1" sqref="C1"/>
      <selection pane="bottomLeft" activeCell="A6" sqref="A6"/>
      <selection pane="bottomRight" activeCell="D78" sqref="D78:D82"/>
    </sheetView>
  </sheetViews>
  <sheetFormatPr defaultColWidth="8.6640625" defaultRowHeight="14.4" x14ac:dyDescent="0.3"/>
  <cols>
    <col min="1" max="1" width="55" customWidth="1"/>
    <col min="2" max="7" width="14" customWidth="1"/>
    <col min="8" max="9" width="6.6640625" customWidth="1"/>
  </cols>
  <sheetData>
    <row r="1" spans="1:9" ht="15.75" customHeight="1" x14ac:dyDescent="0.35">
      <c r="A1" s="12" t="s">
        <v>293</v>
      </c>
    </row>
    <row r="2" spans="1:9" ht="14.25" customHeight="1" x14ac:dyDescent="0.3">
      <c r="A2" s="13" t="s">
        <v>294</v>
      </c>
    </row>
    <row r="4" spans="1:9" ht="14.25" customHeight="1" x14ac:dyDescent="0.3">
      <c r="A4" s="86" t="s">
        <v>295</v>
      </c>
    </row>
    <row r="5" spans="1:9" ht="21.75" customHeight="1" x14ac:dyDescent="0.3">
      <c r="A5" s="14" t="s">
        <v>43</v>
      </c>
      <c r="B5" s="14"/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4"/>
      <c r="I5" s="14"/>
    </row>
    <row r="6" spans="1:9" ht="14.25" customHeight="1" x14ac:dyDescent="0.3">
      <c r="A6" t="s">
        <v>287</v>
      </c>
      <c r="C6" s="87">
        <f>'Projected Profit and Loss'!D11</f>
        <v>133877.86616510351</v>
      </c>
      <c r="D6" s="87">
        <f>'Projected Profit and Loss'!E11</f>
        <v>143136.93793647652</v>
      </c>
      <c r="E6" s="87">
        <f>'Projected Profit and Loss'!F11</f>
        <v>152303.59702925009</v>
      </c>
      <c r="F6" s="87">
        <f>'Projected Profit and Loss'!G11</f>
        <v>161277.90251662757</v>
      </c>
      <c r="G6" s="87">
        <f>'Projected Profit and Loss'!H11</f>
        <v>169956.00168819362</v>
      </c>
    </row>
    <row r="7" spans="1:9" ht="14.25" customHeight="1" x14ac:dyDescent="0.3">
      <c r="A7" t="s">
        <v>296</v>
      </c>
      <c r="C7" s="87">
        <f>-C6*Assumptions!C10</f>
        <v>-30951.844068837065</v>
      </c>
      <c r="D7" s="87">
        <f>-D6*Assumptions!D10</f>
        <v>-33092.49176437383</v>
      </c>
      <c r="E7" s="87">
        <f>-E6*Assumptions!E10</f>
        <v>-35211.774144642826</v>
      </c>
      <c r="F7" s="87">
        <f>-F6*Assumptions!F10</f>
        <v>-37286.58540380092</v>
      </c>
      <c r="G7" s="87">
        <f>-G6*Assumptions!G10</f>
        <v>-39292.915352628785</v>
      </c>
    </row>
    <row r="8" spans="1:9" ht="14.25" customHeight="1" x14ac:dyDescent="0.3">
      <c r="A8" s="86" t="s">
        <v>297</v>
      </c>
      <c r="C8" s="87">
        <f>C6+C7</f>
        <v>102926.02209626645</v>
      </c>
      <c r="D8" s="87">
        <f>D6+D7</f>
        <v>110044.44617210269</v>
      </c>
      <c r="E8" s="87">
        <f>E6+E7</f>
        <v>117091.82288460726</v>
      </c>
      <c r="F8" s="87">
        <f>F6+F7</f>
        <v>123991.31711282665</v>
      </c>
      <c r="G8" s="87">
        <f>G6+G7</f>
        <v>130663.08633556483</v>
      </c>
    </row>
    <row r="9" spans="1:9" ht="14.25" customHeight="1" x14ac:dyDescent="0.3">
      <c r="A9" t="s">
        <v>298</v>
      </c>
      <c r="C9" s="87">
        <f>-'Projected Profit and Loss'!D10</f>
        <v>60906.644717185132</v>
      </c>
      <c r="D9" s="87">
        <f>-'Projected Profit and Loss'!E10</f>
        <v>65780.97463748118</v>
      </c>
      <c r="E9" s="87">
        <f>-'Projected Profit and Loss'!F10</f>
        <v>70686.198497347505</v>
      </c>
      <c r="F9" s="87">
        <f>-'Projected Profit and Loss'!G10</f>
        <v>75572.399049973072</v>
      </c>
      <c r="G9" s="87">
        <f>-'Projected Profit and Loss'!H10</f>
        <v>80386.153165624564</v>
      </c>
    </row>
    <row r="10" spans="1:9" ht="14.25" customHeight="1" x14ac:dyDescent="0.3">
      <c r="A10" t="s">
        <v>256</v>
      </c>
      <c r="C10" s="87">
        <f>-'Projected Profit and Loss'!D19</f>
        <v>-155365.35892727433</v>
      </c>
      <c r="D10" s="87">
        <f>-'Projected Profit and Loss'!E19</f>
        <v>-152555.73146488456</v>
      </c>
      <c r="E10" s="87">
        <f>-'Projected Profit and Loss'!F19</f>
        <v>-148145.42933141772</v>
      </c>
      <c r="F10" s="87">
        <f>-'Projected Profit and Loss'!G19</f>
        <v>-142109.58700740003</v>
      </c>
      <c r="G10" s="87">
        <f>-'Projected Profit and Loss'!H19</f>
        <v>-134454.14566870575</v>
      </c>
    </row>
    <row r="11" spans="1:9" ht="14.25" customHeight="1" x14ac:dyDescent="0.3">
      <c r="A11" t="s">
        <v>299</v>
      </c>
      <c r="C11" s="87">
        <f>-(('Projected Balance Sheet'!D13+'Projected Balance Sheet'!D10-'Projected Balance Sheet'!D45)-('Projected Balance Sheet'!C10+'Projected Balance Sheet'!C13-'Projected Balance Sheet'!C45))</f>
        <v>-5305.1110836225271</v>
      </c>
      <c r="D11" s="87">
        <f>-(('Projected Balance Sheet'!E13+'Projected Balance Sheet'!E10-'Projected Balance Sheet'!E45)-('Projected Balance Sheet'!D10+'Projected Balance Sheet'!D13-'Projected Balance Sheet'!D45))</f>
        <v>19447.695414871618</v>
      </c>
      <c r="E11" s="87">
        <f>-(('Projected Balance Sheet'!F13+'Projected Balance Sheet'!F10-'Projected Balance Sheet'!F45)-('Projected Balance Sheet'!E10+'Projected Balance Sheet'!E13-'Projected Balance Sheet'!E45))</f>
        <v>22284.564994419838</v>
      </c>
      <c r="F11" s="87">
        <f>-(('Projected Balance Sheet'!G13+'Projected Balance Sheet'!G10-'Projected Balance Sheet'!G45)-('Projected Balance Sheet'!F10+'Projected Balance Sheet'!F13-'Projected Balance Sheet'!F45))</f>
        <v>-1582.3663566606701</v>
      </c>
      <c r="G11" s="87">
        <f>-(('Projected Balance Sheet'!H13+'Projected Balance Sheet'!H10-'Projected Balance Sheet'!H45)-('Projected Balance Sheet'!G10+'Projected Balance Sheet'!G13-'Projected Balance Sheet'!G45))</f>
        <v>-1506.1249525465828</v>
      </c>
    </row>
    <row r="12" spans="1:9" ht="14.25" customHeight="1" x14ac:dyDescent="0.3">
      <c r="A12" s="13" t="s">
        <v>300</v>
      </c>
      <c r="C12" s="87"/>
      <c r="D12" s="87"/>
      <c r="E12" s="87"/>
      <c r="F12" s="87"/>
      <c r="G12" s="87"/>
    </row>
    <row r="13" spans="1:9" ht="14.25" customHeight="1" x14ac:dyDescent="0.3">
      <c r="A13" s="86" t="s">
        <v>301</v>
      </c>
      <c r="C13" s="87">
        <f>SUM(C6:C11)</f>
        <v>106088.21889882116</v>
      </c>
      <c r="D13" s="87">
        <f>SUM(D6:D11)</f>
        <v>152761.83093167361</v>
      </c>
      <c r="E13" s="87">
        <f>SUM(E6:E11)</f>
        <v>179008.97992956414</v>
      </c>
      <c r="F13" s="87">
        <f>SUM(F6:F11)</f>
        <v>179863.07991156567</v>
      </c>
      <c r="G13" s="87">
        <f>SUM(G6:G11)</f>
        <v>205752.0552155019</v>
      </c>
    </row>
    <row r="16" spans="1:9" ht="14.25" customHeight="1" x14ac:dyDescent="0.3">
      <c r="A16" s="86" t="s">
        <v>302</v>
      </c>
    </row>
    <row r="18" spans="1:3" ht="27.75" customHeight="1" x14ac:dyDescent="0.3">
      <c r="A18" t="s">
        <v>303</v>
      </c>
      <c r="B18" s="88">
        <v>6.8500000000000005E-2</v>
      </c>
      <c r="C18" s="89" t="s">
        <v>304</v>
      </c>
    </row>
    <row r="19" spans="1:3" ht="27.75" customHeight="1" x14ac:dyDescent="0.3">
      <c r="A19" t="s">
        <v>305</v>
      </c>
      <c r="B19" s="90">
        <v>0.94</v>
      </c>
      <c r="C19" s="89" t="s">
        <v>306</v>
      </c>
    </row>
    <row r="20" spans="1:3" ht="27.75" customHeight="1" x14ac:dyDescent="0.3">
      <c r="A20" t="s">
        <v>307</v>
      </c>
      <c r="B20" s="88">
        <v>6.5000000000000002E-2</v>
      </c>
      <c r="C20" s="89" t="s">
        <v>308</v>
      </c>
    </row>
    <row r="21" spans="1:3" ht="14.25" customHeight="1" x14ac:dyDescent="0.3">
      <c r="A21" s="86" t="s">
        <v>309</v>
      </c>
      <c r="B21" s="91">
        <f>B18+B19*B20</f>
        <v>0.12959999999999999</v>
      </c>
    </row>
    <row r="23" spans="1:3" ht="14.25" customHeight="1" x14ac:dyDescent="0.3">
      <c r="A23" t="s">
        <v>310</v>
      </c>
      <c r="B23" s="92">
        <f>Assumptions!B15</f>
        <v>7.3194209863157833E-2</v>
      </c>
    </row>
    <row r="24" spans="1:3" ht="14.25" customHeight="1" x14ac:dyDescent="0.3">
      <c r="A24" t="s">
        <v>311</v>
      </c>
      <c r="B24" s="92">
        <f>Assumptions!B10</f>
        <v>0.23119463250681049</v>
      </c>
    </row>
    <row r="25" spans="1:3" ht="14.25" customHeight="1" x14ac:dyDescent="0.3">
      <c r="A25" s="86" t="s">
        <v>312</v>
      </c>
      <c r="B25" s="91">
        <f>B23*(1-B24)</f>
        <v>5.6272101412218695E-2</v>
      </c>
    </row>
    <row r="27" spans="1:3" ht="27.75" customHeight="1" x14ac:dyDescent="0.3">
      <c r="A27" t="s">
        <v>313</v>
      </c>
      <c r="B27" s="93">
        <v>1772085</v>
      </c>
      <c r="C27" s="89" t="s">
        <v>314</v>
      </c>
    </row>
    <row r="28" spans="1:3" ht="14.25" customHeight="1" x14ac:dyDescent="0.3">
      <c r="A28" t="s">
        <v>315</v>
      </c>
      <c r="B28" s="94">
        <f>'Debt Schedule'!C12</f>
        <v>374421</v>
      </c>
    </row>
    <row r="29" spans="1:3" ht="14.25" customHeight="1" x14ac:dyDescent="0.3">
      <c r="A29" t="s">
        <v>316</v>
      </c>
      <c r="B29" s="87">
        <f>B27+B28</f>
        <v>2146506</v>
      </c>
    </row>
    <row r="30" spans="1:3" ht="14.25" customHeight="1" x14ac:dyDescent="0.3">
      <c r="A30" t="s">
        <v>317</v>
      </c>
      <c r="B30" s="91">
        <f>B27/B29</f>
        <v>0.82556722413075012</v>
      </c>
    </row>
    <row r="31" spans="1:3" ht="14.25" customHeight="1" x14ac:dyDescent="0.3">
      <c r="A31" t="s">
        <v>318</v>
      </c>
      <c r="B31" s="91">
        <f>B28/B29</f>
        <v>0.17443277586924985</v>
      </c>
    </row>
    <row r="33" spans="1:9" ht="14.25" customHeight="1" x14ac:dyDescent="0.3">
      <c r="A33" s="86" t="s">
        <v>319</v>
      </c>
      <c r="B33" s="91">
        <f>B30*B21+B31*B25</f>
        <v>0.11680921110067445</v>
      </c>
    </row>
    <row r="36" spans="1:9" ht="14.25" customHeight="1" x14ac:dyDescent="0.3">
      <c r="A36" s="86" t="s">
        <v>320</v>
      </c>
    </row>
    <row r="38" spans="1:9" ht="14.25" customHeight="1" x14ac:dyDescent="0.3">
      <c r="A38" t="s">
        <v>321</v>
      </c>
      <c r="B38" s="95">
        <f>G13</f>
        <v>205752.0552155019</v>
      </c>
    </row>
    <row r="39" spans="1:9" ht="14.25" customHeight="1" x14ac:dyDescent="0.3">
      <c r="A39" t="s">
        <v>322</v>
      </c>
      <c r="B39" s="96">
        <f>Assumptions!H6</f>
        <v>4.4999999999999998E-2</v>
      </c>
    </row>
    <row r="40" spans="1:9" ht="14.25" customHeight="1" x14ac:dyDescent="0.3">
      <c r="A40" s="86" t="s">
        <v>323</v>
      </c>
      <c r="B40" s="97">
        <f>(B38*(1+B39))/(B33-B39)</f>
        <v>2994196.6274878075</v>
      </c>
    </row>
    <row r="41" spans="1:9" ht="27.75" customHeight="1" x14ac:dyDescent="0.3">
      <c r="A41" s="98" t="s">
        <v>324</v>
      </c>
    </row>
    <row r="44" spans="1:9" ht="14.25" customHeight="1" x14ac:dyDescent="0.3">
      <c r="A44" s="86" t="s">
        <v>325</v>
      </c>
    </row>
    <row r="45" spans="1:9" ht="21.75" customHeight="1" x14ac:dyDescent="0.3">
      <c r="A45" s="14" t="s">
        <v>43</v>
      </c>
      <c r="B45" s="14"/>
      <c r="C45" s="14" t="s">
        <v>4</v>
      </c>
      <c r="D45" s="14" t="s">
        <v>5</v>
      </c>
      <c r="E45" s="14" t="s">
        <v>6</v>
      </c>
      <c r="F45" s="14" t="s">
        <v>7</v>
      </c>
      <c r="G45" s="14" t="s">
        <v>8</v>
      </c>
      <c r="H45" s="14"/>
      <c r="I45" s="14"/>
    </row>
    <row r="46" spans="1:9" ht="15" customHeight="1" x14ac:dyDescent="0.3">
      <c r="A46" s="16" t="s">
        <v>326</v>
      </c>
      <c r="B46" s="34"/>
      <c r="C46" s="34">
        <v>1</v>
      </c>
      <c r="D46" s="34">
        <v>2</v>
      </c>
      <c r="E46" s="34">
        <v>3</v>
      </c>
      <c r="F46" s="34">
        <v>4</v>
      </c>
      <c r="G46" s="34">
        <v>5</v>
      </c>
      <c r="H46" s="34"/>
      <c r="I46" s="34"/>
    </row>
    <row r="47" spans="1:9" ht="15" customHeight="1" x14ac:dyDescent="0.3">
      <c r="A47" s="18" t="s">
        <v>327</v>
      </c>
      <c r="B47" s="37"/>
      <c r="C47" s="37">
        <f>1/(1+$B$33)^C46</f>
        <v>0.89540808766651125</v>
      </c>
      <c r="D47" s="37">
        <f>1/(1+$B$33)^D46</f>
        <v>0.80175564345859884</v>
      </c>
      <c r="E47" s="37">
        <f>1/(1+$B$33)^E46</f>
        <v>0.71789848748509721</v>
      </c>
      <c r="F47" s="37">
        <f>1/(1+$B$33)^F46</f>
        <v>0.64281211181771181</v>
      </c>
      <c r="G47" s="37">
        <f>1/(1+$B$33)^G46</f>
        <v>0.57557916377156892</v>
      </c>
      <c r="H47" s="37"/>
      <c r="I47" s="37"/>
    </row>
    <row r="48" spans="1:9" ht="15" customHeight="1" x14ac:dyDescent="0.3">
      <c r="A48" s="16" t="s">
        <v>328</v>
      </c>
      <c r="B48" s="34"/>
      <c r="C48" s="34">
        <f>C13</f>
        <v>106088.21889882116</v>
      </c>
      <c r="D48" s="34">
        <f>D13</f>
        <v>152761.83093167361</v>
      </c>
      <c r="E48" s="34">
        <f>E13</f>
        <v>179008.97992956414</v>
      </c>
      <c r="F48" s="34">
        <f>F13</f>
        <v>179863.07991156567</v>
      </c>
      <c r="G48" s="34">
        <f>G13</f>
        <v>205752.0552155019</v>
      </c>
      <c r="H48" s="34"/>
      <c r="I48" s="34"/>
    </row>
    <row r="49" spans="1:9" ht="15" customHeight="1" x14ac:dyDescent="0.3">
      <c r="A49" s="18" t="s">
        <v>329</v>
      </c>
      <c r="B49" s="37"/>
      <c r="C49" s="37">
        <f>C48*C47</f>
        <v>94992.249208139692</v>
      </c>
      <c r="D49" s="37">
        <f>D48*D47</f>
        <v>122477.66005453767</v>
      </c>
      <c r="E49" s="37">
        <f>E48*E47</f>
        <v>128510.27593768422</v>
      </c>
      <c r="F49" s="37">
        <f>F48*F47</f>
        <v>115618.16623599139</v>
      </c>
      <c r="G49" s="37">
        <f>G48*G47</f>
        <v>118426.59588522026</v>
      </c>
      <c r="H49" s="37"/>
      <c r="I49" s="37"/>
    </row>
    <row r="50" spans="1:9" ht="14.25" customHeight="1" x14ac:dyDescent="0.3">
      <c r="A50" s="15"/>
      <c r="B50" s="15"/>
      <c r="C50" s="15"/>
      <c r="D50" s="15"/>
      <c r="E50" s="15"/>
      <c r="F50" s="15"/>
      <c r="G50" s="15"/>
      <c r="H50" s="15"/>
      <c r="I50" s="15"/>
    </row>
    <row r="51" spans="1:9" ht="15.75" customHeight="1" x14ac:dyDescent="0.3">
      <c r="A51" s="51" t="s">
        <v>330</v>
      </c>
      <c r="B51" s="43"/>
      <c r="C51" s="43">
        <f>B40*G47</f>
        <v>1723397.1910170841</v>
      </c>
      <c r="D51" s="43"/>
      <c r="E51" s="43"/>
      <c r="F51" s="43"/>
      <c r="G51" s="43"/>
      <c r="H51" s="43"/>
      <c r="I51" s="43"/>
    </row>
    <row r="52" spans="1:9" ht="15.75" customHeight="1" x14ac:dyDescent="0.3">
      <c r="A52" s="51" t="s">
        <v>331</v>
      </c>
      <c r="B52" s="43"/>
      <c r="C52" s="43">
        <f>SUM(C49:G49)</f>
        <v>580024.94732157327</v>
      </c>
      <c r="D52" s="43"/>
      <c r="E52" s="43"/>
      <c r="F52" s="43"/>
      <c r="G52" s="43"/>
      <c r="H52" s="43"/>
      <c r="I52" s="43"/>
    </row>
    <row r="53" spans="1:9" ht="15.75" customHeight="1" x14ac:dyDescent="0.3">
      <c r="A53" s="51" t="s">
        <v>332</v>
      </c>
      <c r="B53" s="43"/>
      <c r="C53" s="43">
        <f>C51+C52</f>
        <v>2303422.1383386571</v>
      </c>
      <c r="D53" s="43"/>
      <c r="E53" s="43"/>
      <c r="F53" s="43"/>
      <c r="G53" s="43"/>
      <c r="H53" s="43"/>
      <c r="I53" s="43"/>
    </row>
    <row r="54" spans="1:9" ht="14.25" customHeight="1" x14ac:dyDescent="0.3">
      <c r="A54" s="15"/>
      <c r="B54" s="15"/>
      <c r="C54" s="15"/>
      <c r="D54" s="15"/>
      <c r="E54" s="15"/>
      <c r="F54" s="15"/>
      <c r="G54" s="15"/>
      <c r="H54" s="15"/>
      <c r="I54" s="15"/>
    </row>
    <row r="55" spans="1:9" ht="14.25" customHeight="1" x14ac:dyDescent="0.3">
      <c r="A55" s="15"/>
      <c r="B55" s="15"/>
      <c r="C55" s="15"/>
      <c r="D55" s="15"/>
      <c r="E55" s="15"/>
      <c r="F55" s="15"/>
      <c r="G55" s="15"/>
      <c r="H55" s="15"/>
      <c r="I55" s="15"/>
    </row>
    <row r="56" spans="1:9" ht="15" customHeight="1" x14ac:dyDescent="0.3">
      <c r="A56" s="39" t="s">
        <v>333</v>
      </c>
      <c r="B56" s="31"/>
      <c r="C56" s="31"/>
      <c r="D56" s="31"/>
      <c r="E56" s="31"/>
      <c r="F56" s="31"/>
      <c r="G56" s="31"/>
      <c r="H56" s="31"/>
      <c r="I56" s="31"/>
    </row>
    <row r="57" spans="1:9" ht="14.25" customHeight="1" x14ac:dyDescent="0.3">
      <c r="A57" s="15"/>
      <c r="B57" s="15"/>
      <c r="C57" s="15"/>
      <c r="D57" s="15"/>
      <c r="E57" s="15"/>
      <c r="F57" s="15"/>
      <c r="G57" s="15"/>
      <c r="H57" s="15"/>
      <c r="I57" s="15"/>
    </row>
    <row r="58" spans="1:9" ht="15.75" customHeight="1" x14ac:dyDescent="0.3">
      <c r="A58" s="51" t="s">
        <v>334</v>
      </c>
      <c r="B58" s="43"/>
      <c r="C58" s="43">
        <f>C53</f>
        <v>2303422.1383386571</v>
      </c>
      <c r="D58" s="43"/>
      <c r="E58" s="43"/>
      <c r="F58" s="43"/>
      <c r="G58" s="43"/>
      <c r="H58" s="43"/>
      <c r="I58" s="43"/>
    </row>
    <row r="59" spans="1:9" ht="15" customHeight="1" x14ac:dyDescent="0.3">
      <c r="A59" s="16" t="s">
        <v>335</v>
      </c>
      <c r="B59" s="34"/>
      <c r="C59" s="34">
        <f>-B28</f>
        <v>-374421</v>
      </c>
      <c r="D59" s="34"/>
      <c r="E59" s="34"/>
      <c r="F59" s="34"/>
      <c r="G59" s="34"/>
      <c r="H59" s="34"/>
      <c r="I59" s="34"/>
    </row>
    <row r="60" spans="1:9" ht="15" customHeight="1" x14ac:dyDescent="0.3">
      <c r="A60" s="18" t="s">
        <v>336</v>
      </c>
      <c r="B60" s="37"/>
      <c r="C60" s="37">
        <f>'Balance Sheet'!C27</f>
        <v>145977</v>
      </c>
      <c r="D60" s="37"/>
      <c r="E60" s="37"/>
      <c r="F60" s="37"/>
      <c r="G60" s="37"/>
      <c r="H60" s="37"/>
      <c r="I60" s="37"/>
    </row>
    <row r="61" spans="1:9" ht="15.75" customHeight="1" x14ac:dyDescent="0.3">
      <c r="A61" s="51" t="s">
        <v>337</v>
      </c>
      <c r="B61" s="43"/>
      <c r="C61" s="43">
        <f>SUM(C58:C60)</f>
        <v>2074978.1383386571</v>
      </c>
      <c r="D61" s="43"/>
      <c r="E61" s="43"/>
      <c r="F61" s="43"/>
      <c r="G61" s="43"/>
      <c r="H61" s="43"/>
      <c r="I61" s="43"/>
    </row>
    <row r="62" spans="1:9" ht="14.25" customHeight="1" x14ac:dyDescent="0.3">
      <c r="A62" s="15"/>
      <c r="B62" s="15"/>
      <c r="C62" s="15"/>
      <c r="D62" s="15"/>
      <c r="E62" s="15"/>
      <c r="F62" s="15"/>
      <c r="G62" s="15"/>
      <c r="H62" s="15"/>
      <c r="I62" s="15"/>
    </row>
    <row r="63" spans="1:9" ht="15" customHeight="1" x14ac:dyDescent="0.3">
      <c r="A63" s="16" t="s">
        <v>338</v>
      </c>
      <c r="B63" s="34"/>
      <c r="C63" s="34">
        <v>1353.2473</v>
      </c>
      <c r="D63" s="34"/>
      <c r="E63" s="34"/>
      <c r="F63" s="34"/>
      <c r="G63" s="34"/>
      <c r="H63" s="34"/>
      <c r="I63" s="34"/>
    </row>
    <row r="64" spans="1:9" ht="15.75" customHeight="1" x14ac:dyDescent="0.3">
      <c r="A64" s="51" t="s">
        <v>339</v>
      </c>
      <c r="B64" s="43"/>
      <c r="C64" s="43">
        <f>C61/C63</f>
        <v>1533.3325537310566</v>
      </c>
      <c r="D64" s="43"/>
      <c r="E64" s="43"/>
      <c r="F64" s="43"/>
      <c r="G64" s="43"/>
      <c r="H64" s="43"/>
      <c r="I64" s="43"/>
    </row>
    <row r="65" spans="1:9" ht="14.25" customHeight="1" x14ac:dyDescent="0.3">
      <c r="A65" s="15"/>
      <c r="B65" s="15"/>
      <c r="C65" s="15"/>
      <c r="D65" s="15"/>
      <c r="E65" s="15"/>
      <c r="F65" s="15"/>
      <c r="G65" s="15"/>
      <c r="H65" s="15"/>
      <c r="I65" s="15"/>
    </row>
    <row r="66" spans="1:9" ht="15" customHeight="1" x14ac:dyDescent="0.3">
      <c r="A66" s="18" t="s">
        <v>340</v>
      </c>
      <c r="B66" s="37"/>
      <c r="C66" s="36">
        <v>1369</v>
      </c>
      <c r="D66" s="99" t="s">
        <v>341</v>
      </c>
      <c r="E66" s="37"/>
      <c r="F66" s="37"/>
      <c r="G66" s="37"/>
      <c r="H66" s="37"/>
      <c r="I66" s="37"/>
    </row>
    <row r="67" spans="1:9" ht="15" customHeight="1" x14ac:dyDescent="0.3">
      <c r="A67" s="16" t="s">
        <v>342</v>
      </c>
      <c r="B67" s="17"/>
      <c r="C67" s="17">
        <f>(C64-C66)/C66</f>
        <v>0.12003838840836857</v>
      </c>
      <c r="D67" s="17"/>
      <c r="E67" s="17"/>
      <c r="F67" s="17"/>
      <c r="G67" s="17"/>
      <c r="H67" s="17"/>
      <c r="I67" s="17"/>
    </row>
    <row r="68" spans="1:9" ht="15" customHeight="1" x14ac:dyDescent="0.3">
      <c r="A68" s="18" t="s">
        <v>343</v>
      </c>
      <c r="B68" s="37"/>
      <c r="C68" s="36">
        <v>1300</v>
      </c>
      <c r="D68" s="99" t="s">
        <v>344</v>
      </c>
      <c r="E68" s="37"/>
      <c r="F68" s="37"/>
      <c r="G68" s="37"/>
      <c r="H68" s="37"/>
      <c r="I68" s="37"/>
    </row>
    <row r="69" spans="1:9" ht="15" customHeight="1" x14ac:dyDescent="0.3">
      <c r="A69" s="16" t="s">
        <v>345</v>
      </c>
      <c r="B69" s="34"/>
      <c r="C69" s="34">
        <f>(C64-C68)/C68</f>
        <v>0.17948657979312044</v>
      </c>
      <c r="D69" s="34"/>
      <c r="E69" s="34"/>
      <c r="F69" s="34"/>
      <c r="G69" s="34"/>
      <c r="H69" s="34"/>
      <c r="I69" s="34"/>
    </row>
    <row r="70" spans="1:9" ht="15" customHeight="1" x14ac:dyDescent="0.3">
      <c r="A70" s="39" t="s">
        <v>346</v>
      </c>
      <c r="B70" s="31"/>
      <c r="C70" s="31"/>
      <c r="D70" s="31"/>
      <c r="E70" s="31"/>
      <c r="F70" s="31"/>
      <c r="G70" s="31"/>
      <c r="H70" s="31"/>
      <c r="I70" s="31"/>
    </row>
    <row r="71" spans="1:9" ht="14.25" customHeight="1" x14ac:dyDescent="0.3">
      <c r="A71" s="28"/>
      <c r="B71" s="28"/>
      <c r="C71" s="28"/>
      <c r="D71" s="28"/>
      <c r="E71" s="28"/>
      <c r="F71" s="28"/>
      <c r="G71" s="28"/>
      <c r="H71" s="28"/>
      <c r="I71" s="28"/>
    </row>
    <row r="72" spans="1:9" ht="14.25" customHeight="1" x14ac:dyDescent="0.3">
      <c r="A72" s="15"/>
      <c r="B72" s="15"/>
      <c r="C72" s="15"/>
      <c r="D72" s="15"/>
      <c r="E72" s="15"/>
      <c r="F72" s="15"/>
      <c r="G72" s="15"/>
      <c r="H72" s="15"/>
      <c r="I72" s="15"/>
    </row>
    <row r="73" spans="1:9" ht="14.25" customHeight="1" x14ac:dyDescent="0.3">
      <c r="A73" s="15"/>
      <c r="B73" s="15"/>
      <c r="C73" s="15"/>
      <c r="D73" s="15"/>
      <c r="E73" s="15"/>
      <c r="F73" s="15"/>
      <c r="G73" s="15"/>
      <c r="H73" s="15"/>
      <c r="I73" s="15"/>
    </row>
    <row r="74" spans="1:9" ht="15" customHeight="1" x14ac:dyDescent="0.3">
      <c r="A74" s="18"/>
      <c r="B74" s="37"/>
      <c r="C74" s="11"/>
      <c r="D74" s="11"/>
      <c r="E74" s="10" t="s">
        <v>347</v>
      </c>
      <c r="F74" s="10"/>
      <c r="G74" s="10"/>
      <c r="H74" s="10"/>
      <c r="I74" s="10"/>
    </row>
    <row r="75" spans="1:9" ht="14.25" customHeight="1" x14ac:dyDescent="0.3">
      <c r="A75" s="15"/>
      <c r="B75" s="15"/>
      <c r="C75" s="11"/>
      <c r="D75" s="11"/>
      <c r="E75" s="10"/>
      <c r="F75" s="10"/>
      <c r="G75" s="10"/>
      <c r="H75" s="10"/>
      <c r="I75" s="10"/>
    </row>
    <row r="76" spans="1:9" ht="14.25" customHeight="1" x14ac:dyDescent="0.3">
      <c r="A76" s="15"/>
      <c r="B76" s="15"/>
      <c r="C76" s="11"/>
      <c r="D76" s="11"/>
      <c r="E76" s="9"/>
      <c r="F76" s="9"/>
      <c r="G76" s="9"/>
      <c r="H76" s="9"/>
      <c r="I76" s="9"/>
    </row>
    <row r="77" spans="1:9" ht="15" customHeight="1" x14ac:dyDescent="0.3">
      <c r="A77" s="16"/>
      <c r="B77" s="100"/>
      <c r="C77" s="8" t="s">
        <v>348</v>
      </c>
      <c r="D77" s="34">
        <f>C64</f>
        <v>1533.3325537310566</v>
      </c>
      <c r="E77" s="109">
        <v>3.5000000000000003E-2</v>
      </c>
      <c r="F77" s="109">
        <v>4.4999999999999998E-2</v>
      </c>
      <c r="G77" s="109">
        <v>5.5E-2</v>
      </c>
      <c r="H77" s="109">
        <v>6.5000000000000002E-2</v>
      </c>
      <c r="I77" s="109">
        <v>7.4999999999999997E-2</v>
      </c>
    </row>
    <row r="78" spans="1:9" ht="15" customHeight="1" x14ac:dyDescent="0.3">
      <c r="A78" s="18"/>
      <c r="B78" s="101"/>
      <c r="C78" s="8"/>
      <c r="D78" s="109">
        <v>9.7000000000000003E-2</v>
      </c>
      <c r="E78" s="22">
        <v>1881.79467466757</v>
      </c>
      <c r="F78" s="22">
        <v>2207.4404656987099</v>
      </c>
      <c r="G78" s="22">
        <v>2688.15568103038</v>
      </c>
      <c r="H78" s="22">
        <v>3469.3179059443501</v>
      </c>
      <c r="I78" s="22">
        <v>4960.6276080528396</v>
      </c>
    </row>
    <row r="79" spans="1:9" ht="15" customHeight="1" x14ac:dyDescent="0.3">
      <c r="A79" s="16"/>
      <c r="B79" s="100"/>
      <c r="C79" s="8"/>
      <c r="D79" s="109">
        <v>0.107</v>
      </c>
      <c r="E79" s="44">
        <v>1586.3313283509999</v>
      </c>
      <c r="F79" s="44">
        <v>1813.13618148367</v>
      </c>
      <c r="G79" s="44">
        <v>2127.1736704365899</v>
      </c>
      <c r="H79" s="44">
        <v>2590.7528207956698</v>
      </c>
      <c r="I79" s="44">
        <v>3344.0689401291802</v>
      </c>
    </row>
    <row r="80" spans="1:9" ht="15" customHeight="1" x14ac:dyDescent="0.3">
      <c r="A80" s="18"/>
      <c r="B80" s="101"/>
      <c r="C80" s="8"/>
      <c r="D80" s="109">
        <v>0.11700000000000001</v>
      </c>
      <c r="E80" s="22">
        <v>1363.2213043602801</v>
      </c>
      <c r="F80" s="22">
        <v>1528.6489052516799</v>
      </c>
      <c r="G80" s="22">
        <v>1747.4402483661199</v>
      </c>
      <c r="H80" s="22">
        <v>2050.38210806303</v>
      </c>
      <c r="I80" s="22">
        <v>2497.5819961870402</v>
      </c>
    </row>
    <row r="81" spans="1:9" ht="15" customHeight="1" x14ac:dyDescent="0.3">
      <c r="A81" s="16"/>
      <c r="B81" s="100"/>
      <c r="C81" s="8"/>
      <c r="D81" s="109">
        <v>0.127</v>
      </c>
      <c r="E81" s="44">
        <v>1188.85979556198</v>
      </c>
      <c r="F81" s="44">
        <v>1313.7906380797899</v>
      </c>
      <c r="G81" s="44">
        <v>1473.4244924081199</v>
      </c>
      <c r="H81" s="44">
        <v>1684.5531384552601</v>
      </c>
      <c r="I81" s="44">
        <v>1976.8851099051401</v>
      </c>
    </row>
    <row r="82" spans="1:9" ht="15" customHeight="1" x14ac:dyDescent="0.3">
      <c r="A82" s="18"/>
      <c r="B82" s="101"/>
      <c r="C82" s="8"/>
      <c r="D82" s="109">
        <v>0.13700000000000001</v>
      </c>
      <c r="E82" s="22">
        <v>1048.8993459184601</v>
      </c>
      <c r="F82" s="22">
        <v>1145.84696658024</v>
      </c>
      <c r="G82" s="22">
        <v>1266.44034837905</v>
      </c>
      <c r="H82" s="22">
        <v>1420.53189178863</v>
      </c>
      <c r="I82" s="22">
        <v>1624.33038468518</v>
      </c>
    </row>
  </sheetData>
  <mergeCells count="4">
    <mergeCell ref="C74:D76"/>
    <mergeCell ref="E74:I75"/>
    <mergeCell ref="E76:I76"/>
    <mergeCell ref="C77:C8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1"/>
  <sheetViews>
    <sheetView zoomScaleNormal="100" workbookViewId="0"/>
  </sheetViews>
  <sheetFormatPr defaultColWidth="73.77734375" defaultRowHeight="14.4" x14ac:dyDescent="0.3"/>
  <cols>
    <col min="1" max="1" width="52" customWidth="1"/>
    <col min="2" max="2" width="16" customWidth="1"/>
    <col min="3" max="3" width="14" customWidth="1"/>
    <col min="4" max="4" width="32" customWidth="1"/>
  </cols>
  <sheetData>
    <row r="1" spans="1:4" ht="15.75" customHeight="1" x14ac:dyDescent="0.35">
      <c r="A1" s="12" t="s">
        <v>349</v>
      </c>
    </row>
    <row r="2" spans="1:4" ht="15" customHeight="1" x14ac:dyDescent="0.3">
      <c r="A2" s="13" t="s">
        <v>350</v>
      </c>
    </row>
    <row r="4" spans="1:4" ht="21.75" customHeight="1" x14ac:dyDescent="0.3">
      <c r="A4" s="14" t="s">
        <v>351</v>
      </c>
      <c r="B4" s="14" t="s">
        <v>352</v>
      </c>
      <c r="C4" s="14" t="s">
        <v>353</v>
      </c>
      <c r="D4" s="14" t="s">
        <v>354</v>
      </c>
    </row>
    <row r="5" spans="1:4" ht="15" customHeight="1" x14ac:dyDescent="0.3">
      <c r="A5" s="16" t="s">
        <v>355</v>
      </c>
      <c r="B5" s="102" t="s">
        <v>356</v>
      </c>
      <c r="C5" s="103">
        <v>5</v>
      </c>
      <c r="D5" s="104" t="s">
        <v>357</v>
      </c>
    </row>
    <row r="6" spans="1:4" ht="15" customHeight="1" x14ac:dyDescent="0.3">
      <c r="A6" s="18" t="s">
        <v>358</v>
      </c>
      <c r="B6" s="105" t="s">
        <v>359</v>
      </c>
      <c r="C6" s="106">
        <v>9.5</v>
      </c>
      <c r="D6" s="107" t="s">
        <v>360</v>
      </c>
    </row>
    <row r="7" spans="1:4" ht="15" customHeight="1" x14ac:dyDescent="0.3">
      <c r="A7" s="16" t="s">
        <v>361</v>
      </c>
      <c r="B7" s="102" t="s">
        <v>362</v>
      </c>
      <c r="C7" s="103">
        <v>15.65</v>
      </c>
      <c r="D7" s="104" t="s">
        <v>363</v>
      </c>
    </row>
    <row r="8" spans="1:4" ht="14.25" customHeight="1" x14ac:dyDescent="0.3">
      <c r="A8" s="15"/>
      <c r="B8" s="15"/>
      <c r="C8" s="15"/>
      <c r="D8" s="15"/>
    </row>
    <row r="9" spans="1:4" ht="15.75" customHeight="1" x14ac:dyDescent="0.3">
      <c r="A9" s="51" t="s">
        <v>364</v>
      </c>
      <c r="B9" s="108"/>
      <c r="C9" s="108">
        <f>AVERAGE(C5:C6)</f>
        <v>7.25</v>
      </c>
      <c r="D9" s="108"/>
    </row>
    <row r="10" spans="1:4" ht="14.25" customHeight="1" x14ac:dyDescent="0.3">
      <c r="A10" s="15"/>
      <c r="B10" s="15"/>
      <c r="C10" s="15"/>
      <c r="D10" s="15"/>
    </row>
    <row r="11" spans="1:4" ht="15" customHeight="1" x14ac:dyDescent="0.3">
      <c r="A11" s="18" t="s">
        <v>365</v>
      </c>
      <c r="B11" s="37"/>
      <c r="C11" s="37"/>
      <c r="D11" s="37"/>
    </row>
    <row r="12" spans="1:4" ht="15" customHeight="1" x14ac:dyDescent="0.3">
      <c r="A12" s="16" t="s">
        <v>366</v>
      </c>
      <c r="B12" s="78">
        <f>'Projected Profit and Loss'!D11</f>
        <v>133877.86616510351</v>
      </c>
      <c r="C12" s="34"/>
      <c r="D12" s="34"/>
    </row>
    <row r="13" spans="1:4" ht="15" customHeight="1" x14ac:dyDescent="0.3">
      <c r="A13" s="18" t="s">
        <v>367</v>
      </c>
      <c r="B13" s="81">
        <f>-'Projected Profit and Loss'!D10</f>
        <v>60906.644717185132</v>
      </c>
      <c r="C13" s="37"/>
      <c r="D13" s="37"/>
    </row>
    <row r="14" spans="1:4" ht="15" customHeight="1" x14ac:dyDescent="0.3">
      <c r="A14" s="16" t="s">
        <v>368</v>
      </c>
      <c r="B14" s="34">
        <f>B12+B13</f>
        <v>194784.51088228862</v>
      </c>
      <c r="C14" s="34"/>
      <c r="D14" s="34"/>
    </row>
    <row r="15" spans="1:4" ht="14.25" customHeight="1" x14ac:dyDescent="0.3">
      <c r="A15" s="15"/>
      <c r="B15" s="15"/>
      <c r="C15" s="15"/>
      <c r="D15" s="15"/>
    </row>
    <row r="16" spans="1:4" ht="15.75" customHeight="1" x14ac:dyDescent="0.3">
      <c r="A16" s="51" t="s">
        <v>369</v>
      </c>
      <c r="B16" s="43">
        <f>C9*B14</f>
        <v>1412187.7038965926</v>
      </c>
      <c r="C16" s="43"/>
      <c r="D16" s="43"/>
    </row>
    <row r="17" spans="1:4" ht="15.75" customHeight="1" x14ac:dyDescent="0.3">
      <c r="A17" s="51" t="s">
        <v>370</v>
      </c>
      <c r="B17" s="43">
        <f>C7*B14</f>
        <v>3048377.5953078172</v>
      </c>
      <c r="C17" s="43"/>
      <c r="D17" s="43"/>
    </row>
    <row r="18" spans="1:4" ht="14.25" customHeight="1" x14ac:dyDescent="0.3">
      <c r="A18" s="15"/>
      <c r="B18" s="15"/>
      <c r="C18" s="15"/>
      <c r="D18" s="15"/>
    </row>
    <row r="19" spans="1:4" ht="15" customHeight="1" x14ac:dyDescent="0.3">
      <c r="A19" s="18" t="s">
        <v>371</v>
      </c>
      <c r="B19" s="37"/>
      <c r="C19" s="37"/>
      <c r="D19" s="37"/>
    </row>
    <row r="20" spans="1:4" ht="15.75" customHeight="1" x14ac:dyDescent="0.3">
      <c r="A20" s="51" t="s">
        <v>372</v>
      </c>
      <c r="B20" s="43">
        <f>B16</f>
        <v>1412187.7038965926</v>
      </c>
      <c r="C20" s="43"/>
      <c r="D20" s="43"/>
    </row>
    <row r="21" spans="1:4" ht="15" customHeight="1" x14ac:dyDescent="0.3">
      <c r="A21" s="16" t="s">
        <v>335</v>
      </c>
      <c r="B21" s="78">
        <f>-'Debt Schedule'!C12</f>
        <v>-374421</v>
      </c>
      <c r="C21" s="34"/>
      <c r="D21" s="34"/>
    </row>
    <row r="22" spans="1:4" ht="15" customHeight="1" x14ac:dyDescent="0.3">
      <c r="A22" s="18" t="s">
        <v>336</v>
      </c>
      <c r="B22" s="81">
        <f>'Balance Sheet'!C27</f>
        <v>145977</v>
      </c>
      <c r="C22" s="37"/>
      <c r="D22" s="37"/>
    </row>
    <row r="23" spans="1:4" ht="15.75" customHeight="1" x14ac:dyDescent="0.3">
      <c r="A23" s="51" t="s">
        <v>337</v>
      </c>
      <c r="B23" s="43">
        <f>SUM(B20:B22)</f>
        <v>1183743.7038965926</v>
      </c>
      <c r="C23" s="43"/>
      <c r="D23" s="43"/>
    </row>
    <row r="24" spans="1:4" ht="14.25" customHeight="1" x14ac:dyDescent="0.3">
      <c r="A24" s="15"/>
      <c r="B24" s="15"/>
      <c r="C24" s="15"/>
      <c r="D24" s="15"/>
    </row>
    <row r="25" spans="1:4" ht="15" customHeight="1" x14ac:dyDescent="0.3">
      <c r="A25" s="16" t="s">
        <v>338</v>
      </c>
      <c r="B25" s="34">
        <f>'DCF Valuation'!C63</f>
        <v>1353.2473</v>
      </c>
      <c r="C25" s="34"/>
      <c r="D25" s="34"/>
    </row>
    <row r="26" spans="1:4" ht="15.75" customHeight="1" x14ac:dyDescent="0.3">
      <c r="A26" s="51" t="s">
        <v>373</v>
      </c>
      <c r="B26" s="43">
        <f>B23/B25</f>
        <v>874.7430746003281</v>
      </c>
      <c r="C26" s="43"/>
      <c r="D26" s="43"/>
    </row>
    <row r="27" spans="1:4" ht="14.25" customHeight="1" x14ac:dyDescent="0.3">
      <c r="A27" s="15"/>
      <c r="B27" s="15"/>
      <c r="C27" s="15"/>
      <c r="D27" s="15"/>
    </row>
    <row r="28" spans="1:4" ht="15" customHeight="1" x14ac:dyDescent="0.3">
      <c r="A28" s="18" t="s">
        <v>374</v>
      </c>
      <c r="B28" s="37"/>
      <c r="C28" s="37"/>
      <c r="D28" s="37"/>
    </row>
    <row r="29" spans="1:4" ht="15" customHeight="1" x14ac:dyDescent="0.3">
      <c r="A29" s="16" t="s">
        <v>375</v>
      </c>
      <c r="B29" s="34">
        <f>'DCF Valuation'!C64</f>
        <v>1533.3325537310566</v>
      </c>
      <c r="C29" s="34"/>
      <c r="D29" s="34"/>
    </row>
    <row r="30" spans="1:4" ht="15" customHeight="1" x14ac:dyDescent="0.3">
      <c r="A30" s="18" t="s">
        <v>376</v>
      </c>
      <c r="B30" s="37">
        <f>B26</f>
        <v>874.7430746003281</v>
      </c>
      <c r="C30" s="37"/>
      <c r="D30" s="37"/>
    </row>
    <row r="31" spans="1:4" ht="15" customHeight="1" x14ac:dyDescent="0.3">
      <c r="A31" s="16" t="s">
        <v>377</v>
      </c>
      <c r="B31" s="34">
        <f>'DCF Valuation'!C66</f>
        <v>1369</v>
      </c>
      <c r="C31" s="34"/>
      <c r="D31" s="3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Assumptions</vt:lpstr>
      <vt:lpstr>Balance Sheet</vt:lpstr>
      <vt:lpstr>Profit &amp; Loss</vt:lpstr>
      <vt:lpstr>Changes in Equity</vt:lpstr>
      <vt:lpstr>Cash Flow Statement</vt:lpstr>
      <vt:lpstr>Projected Cash Flow</vt:lpstr>
      <vt:lpstr>Projected Balance Sheet</vt:lpstr>
      <vt:lpstr>Debt Schedule</vt:lpstr>
      <vt:lpstr>Projected Profit and Loss</vt:lpstr>
      <vt:lpstr>DCF Valuation</vt:lpstr>
      <vt:lpstr>Comps 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Harsahib Singh</cp:lastModifiedBy>
  <cp:revision>0</cp:revision>
  <dcterms:created xsi:type="dcterms:W3CDTF">2026-06-21T13:01:35Z</dcterms:created>
  <dcterms:modified xsi:type="dcterms:W3CDTF">2026-07-02T07:47:36Z</dcterms:modified>
  <dc:language>en-US</dc:language>
</cp:coreProperties>
</file>