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46f22d159ec06e/Desktop/Final Project Files/"/>
    </mc:Choice>
  </mc:AlternateContent>
  <xr:revisionPtr revIDLastSave="0" documentId="8_{89773BD3-DC13-4633-BD16-C2239109CC5F}" xr6:coauthVersionLast="47" xr6:coauthVersionMax="47" xr10:uidLastSave="{00000000-0000-0000-0000-000000000000}"/>
  <bookViews>
    <workbookView xWindow="-108" yWindow="-108" windowWidth="23256" windowHeight="12456" tabRatio="500" firstSheet="6" activeTab="9" xr2:uid="{00000000-000D-0000-FFFF-FFFF00000000}"/>
  </bookViews>
  <sheets>
    <sheet name="Balance Sheet" sheetId="1" r:id="rId1"/>
    <sheet name="Profit &amp; Loss" sheetId="2" r:id="rId2"/>
    <sheet name="Cash Flow Statement" sheetId="3" r:id="rId3"/>
    <sheet name="Transaction Assumptions" sheetId="4" r:id="rId4"/>
    <sheet name="Sources &amp; Uses" sheetId="5" r:id="rId5"/>
    <sheet name="Opening Pro Forma BS" sheetId="6" r:id="rId6"/>
    <sheet name="Operating Model" sheetId="7" r:id="rId7"/>
    <sheet name="Debt Schedule" sheetId="8" r:id="rId8"/>
    <sheet name="Returns &amp; Exit" sheetId="9" r:id="rId9"/>
    <sheet name="Sensitivity" sheetId="10" r:id="rId10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9" l="1"/>
  <c r="B6" i="9"/>
  <c r="C27" i="7"/>
  <c r="B27" i="7"/>
  <c r="B26" i="7"/>
  <c r="B20" i="7"/>
  <c r="B18" i="7"/>
  <c r="B25" i="7" s="1"/>
  <c r="C16" i="7"/>
  <c r="B16" i="7"/>
  <c r="D15" i="7"/>
  <c r="E14" i="7"/>
  <c r="E15" i="7" s="1"/>
  <c r="D14" i="7"/>
  <c r="D27" i="7" s="1"/>
  <c r="C14" i="7"/>
  <c r="C15" i="7" s="1"/>
  <c r="B14" i="7"/>
  <c r="B24" i="6"/>
  <c r="B20" i="6"/>
  <c r="B22" i="6" s="1"/>
  <c r="B13" i="6"/>
  <c r="C13" i="6" s="1"/>
  <c r="B7" i="6"/>
  <c r="B10" i="6" s="1"/>
  <c r="B26" i="4"/>
  <c r="B25" i="4"/>
  <c r="B30" i="4" s="1"/>
  <c r="B22" i="4"/>
  <c r="E38" i="3"/>
  <c r="D38" i="3"/>
  <c r="C38" i="3"/>
  <c r="B38" i="3"/>
  <c r="E29" i="3"/>
  <c r="D29" i="3"/>
  <c r="C29" i="3"/>
  <c r="B29" i="3"/>
  <c r="C19" i="3"/>
  <c r="C40" i="3" s="1"/>
  <c r="C42" i="3" s="1"/>
  <c r="C17" i="3"/>
  <c r="E10" i="3"/>
  <c r="E17" i="3" s="1"/>
  <c r="E19" i="3" s="1"/>
  <c r="E40" i="3" s="1"/>
  <c r="E42" i="3" s="1"/>
  <c r="D10" i="3"/>
  <c r="D17" i="3" s="1"/>
  <c r="D19" i="3" s="1"/>
  <c r="D40" i="3" s="1"/>
  <c r="D42" i="3" s="1"/>
  <c r="C10" i="3"/>
  <c r="B10" i="3"/>
  <c r="B17" i="3" s="1"/>
  <c r="B19" i="3" s="1"/>
  <c r="B40" i="3" s="1"/>
  <c r="B42" i="3" s="1"/>
  <c r="F35" i="2"/>
  <c r="E35" i="2"/>
  <c r="D35" i="2"/>
  <c r="F34" i="2"/>
  <c r="E34" i="2"/>
  <c r="D34" i="2"/>
  <c r="C34" i="2"/>
  <c r="F31" i="2"/>
  <c r="E31" i="2"/>
  <c r="D31" i="2"/>
  <c r="C31" i="2"/>
  <c r="C35" i="2" s="1"/>
  <c r="F25" i="2"/>
  <c r="E25" i="2"/>
  <c r="D25" i="2"/>
  <c r="C25" i="2"/>
  <c r="D20" i="2"/>
  <c r="D26" i="2" s="1"/>
  <c r="D36" i="2" s="1"/>
  <c r="F18" i="2"/>
  <c r="E18" i="2"/>
  <c r="D18" i="2"/>
  <c r="C18" i="2"/>
  <c r="F8" i="2"/>
  <c r="F20" i="2" s="1"/>
  <c r="F26" i="2" s="1"/>
  <c r="F36" i="2" s="1"/>
  <c r="E8" i="2"/>
  <c r="E20" i="2" s="1"/>
  <c r="E26" i="2" s="1"/>
  <c r="E36" i="2" s="1"/>
  <c r="D8" i="2"/>
  <c r="C8" i="2"/>
  <c r="C20" i="2" s="1"/>
  <c r="F56" i="1"/>
  <c r="E56" i="1"/>
  <c r="D56" i="1"/>
  <c r="C56" i="1"/>
  <c r="B28" i="6" s="1"/>
  <c r="F45" i="1"/>
  <c r="F58" i="1" s="1"/>
  <c r="E45" i="1"/>
  <c r="E58" i="1" s="1"/>
  <c r="D45" i="1"/>
  <c r="D58" i="1" s="1"/>
  <c r="C45" i="1"/>
  <c r="B25" i="6" s="1"/>
  <c r="F36" i="1"/>
  <c r="E36" i="1"/>
  <c r="E59" i="1" s="1"/>
  <c r="D36" i="1"/>
  <c r="D59" i="1" s="1"/>
  <c r="C36" i="1"/>
  <c r="F28" i="1"/>
  <c r="E28" i="1"/>
  <c r="D28" i="1"/>
  <c r="C28" i="1"/>
  <c r="C30" i="1" s="1"/>
  <c r="F16" i="1"/>
  <c r="F30" i="1" s="1"/>
  <c r="E16" i="1"/>
  <c r="E30" i="1" s="1"/>
  <c r="E61" i="1" s="1"/>
  <c r="D16" i="1"/>
  <c r="D30" i="1" s="1"/>
  <c r="D61" i="1" s="1"/>
  <c r="C16" i="1"/>
  <c r="C17" i="7" l="1"/>
  <c r="C24" i="7"/>
  <c r="B23" i="4"/>
  <c r="C26" i="2"/>
  <c r="C36" i="2" s="1"/>
  <c r="E24" i="7"/>
  <c r="E17" i="7"/>
  <c r="D17" i="7"/>
  <c r="C59" i="1"/>
  <c r="C61" i="1" s="1"/>
  <c r="F59" i="1"/>
  <c r="F61" i="1" s="1"/>
  <c r="B26" i="6"/>
  <c r="B30" i="6" s="1"/>
  <c r="B32" i="6" s="1"/>
  <c r="D25" i="6"/>
  <c r="C25" i="6" s="1"/>
  <c r="B12" i="6"/>
  <c r="D28" i="6"/>
  <c r="C28" i="6" s="1"/>
  <c r="D16" i="7"/>
  <c r="E16" i="7"/>
  <c r="D24" i="7"/>
  <c r="D7" i="6"/>
  <c r="F14" i="7"/>
  <c r="C58" i="1"/>
  <c r="E27" i="7"/>
  <c r="B13" i="5" l="1"/>
  <c r="B15" i="7"/>
  <c r="B29" i="4"/>
  <c r="F27" i="7"/>
  <c r="G14" i="7"/>
  <c r="F16" i="7"/>
  <c r="F15" i="7"/>
  <c r="C7" i="6"/>
  <c r="B15" i="6"/>
  <c r="B17" i="6" s="1"/>
  <c r="D12" i="6"/>
  <c r="D15" i="6" l="1"/>
  <c r="C15" i="6" s="1"/>
  <c r="C12" i="6"/>
  <c r="F17" i="7"/>
  <c r="F24" i="7"/>
  <c r="G27" i="7"/>
  <c r="G16" i="7"/>
  <c r="G15" i="7"/>
  <c r="B8" i="5"/>
  <c r="D21" i="6" s="1"/>
  <c r="C21" i="6" s="1"/>
  <c r="B31" i="4"/>
  <c r="B17" i="7"/>
  <c r="B19" i="7" s="1"/>
  <c r="B21" i="7" s="1"/>
  <c r="B24" i="7"/>
  <c r="B29" i="7" s="1"/>
  <c r="G7" i="8"/>
  <c r="F7" i="8"/>
  <c r="E7" i="8"/>
  <c r="D7" i="8"/>
  <c r="C7" i="8"/>
  <c r="D24" i="6"/>
  <c r="B9" i="8"/>
  <c r="B6" i="8"/>
  <c r="B20" i="5"/>
  <c r="D8" i="6" l="1"/>
  <c r="B6" i="5"/>
  <c r="B9" i="5" s="1"/>
  <c r="B14" i="5" s="1"/>
  <c r="G17" i="7"/>
  <c r="G24" i="7"/>
  <c r="B5" i="9"/>
  <c r="B7" i="9" s="1"/>
  <c r="B10" i="9" s="1"/>
  <c r="B10" i="8"/>
  <c r="C6" i="8"/>
  <c r="D26" i="6"/>
  <c r="C24" i="6"/>
  <c r="C26" i="6" l="1"/>
  <c r="D30" i="6"/>
  <c r="C30" i="6" s="1"/>
  <c r="D20" i="6"/>
  <c r="B15" i="5"/>
  <c r="B24" i="5" s="1"/>
  <c r="B22" i="5"/>
  <c r="C8" i="6"/>
  <c r="D10" i="6"/>
  <c r="C10" i="6" l="1"/>
  <c r="D17" i="6"/>
  <c r="B21" i="5"/>
  <c r="C20" i="6"/>
  <c r="D22" i="6"/>
  <c r="B17" i="5"/>
  <c r="B23" i="5"/>
  <c r="B16" i="9" l="1"/>
  <c r="D32" i="6"/>
  <c r="C32" i="6" s="1"/>
  <c r="C22" i="6"/>
  <c r="C17" i="6"/>
  <c r="D34" i="6" l="1"/>
  <c r="D6" i="8" l="1"/>
  <c r="E6" i="8"/>
  <c r="F6" i="8"/>
  <c r="G6" i="8"/>
  <c r="C8" i="8"/>
  <c r="D8" i="8"/>
  <c r="E8" i="8"/>
  <c r="F8" i="8"/>
  <c r="G8" i="8"/>
  <c r="C9" i="8"/>
  <c r="D9" i="8"/>
  <c r="E9" i="8"/>
  <c r="F9" i="8"/>
  <c r="G9" i="8"/>
  <c r="C10" i="8"/>
  <c r="D10" i="8"/>
  <c r="E10" i="8"/>
  <c r="F10" i="8"/>
  <c r="G10" i="8"/>
  <c r="C11" i="8"/>
  <c r="D11" i="8"/>
  <c r="E11" i="8"/>
  <c r="F11" i="8"/>
  <c r="G11" i="8"/>
  <c r="C18" i="7"/>
  <c r="D18" i="7"/>
  <c r="E18" i="7"/>
  <c r="F18" i="7"/>
  <c r="G18" i="7"/>
  <c r="C19" i="7"/>
  <c r="D19" i="7"/>
  <c r="E19" i="7"/>
  <c r="F19" i="7"/>
  <c r="G19" i="7"/>
  <c r="C20" i="7"/>
  <c r="D20" i="7"/>
  <c r="E20" i="7"/>
  <c r="F20" i="7"/>
  <c r="G20" i="7"/>
  <c r="C21" i="7"/>
  <c r="D21" i="7"/>
  <c r="E21" i="7"/>
  <c r="F21" i="7"/>
  <c r="G21" i="7"/>
  <c r="C25" i="7"/>
  <c r="D25" i="7"/>
  <c r="E25" i="7"/>
  <c r="F25" i="7"/>
  <c r="G25" i="7"/>
  <c r="C26" i="7"/>
  <c r="D26" i="7"/>
  <c r="E26" i="7"/>
  <c r="F26" i="7"/>
  <c r="G26" i="7"/>
  <c r="C29" i="7"/>
  <c r="D29" i="7"/>
  <c r="E29" i="7"/>
  <c r="F29" i="7"/>
  <c r="G29" i="7"/>
  <c r="B11" i="9"/>
  <c r="B13" i="9"/>
  <c r="B17" i="9"/>
  <c r="B20" i="9"/>
  <c r="B21" i="9"/>
</calcChain>
</file>

<file path=xl/sharedStrings.xml><?xml version="1.0" encoding="utf-8"?>
<sst xmlns="http://schemas.openxmlformats.org/spreadsheetml/2006/main" count="304" uniqueCount="269">
  <si>
    <t>Ajanta Pharma Limited — Consolidated Balance Sheet</t>
  </si>
  <si>
    <t>As at 31 March 2026 (₹ in crore)</t>
  </si>
  <si>
    <t>Particulars</t>
  </si>
  <si>
    <t>Note</t>
  </si>
  <si>
    <t>31-Mar-2026</t>
  </si>
  <si>
    <t>31-Mar-2025</t>
  </si>
  <si>
    <t>31-Mar-2024</t>
  </si>
  <si>
    <t>31-Mar-2023</t>
  </si>
  <si>
    <t>ASSETS</t>
  </si>
  <si>
    <t>Non-Current Assets</t>
  </si>
  <si>
    <t>Property, Plant and Equipment</t>
  </si>
  <si>
    <t>Capital Work-in-Progress</t>
  </si>
  <si>
    <t>Right-of-Use Assets</t>
  </si>
  <si>
    <t>Other Intangible Assets</t>
  </si>
  <si>
    <t>Investments (Non-Current)</t>
  </si>
  <si>
    <t>Other Non-Current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</si>
  <si>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</si>
  <si>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</si>
  <si>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</si>
  <si>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</si>
  <si>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</si>
  <si>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Inventories</t>
  </si>
  <si>
    <t>Investments (Current)</t>
  </si>
  <si>
    <t>Trade Receivables</t>
  </si>
  <si>
    <t>Cash and Cash Equivalents</t>
  </si>
  <si>
    <t>Bank Balances other than Cash Equiv.</t>
  </si>
  <si>
    <t>Loans (Current)</t>
  </si>
  <si>
    <t>Other Financial Assets (Current)</t>
  </si>
  <si>
    <t>Other Current Assets</t>
  </si>
  <si>
    <t>Assets Classified as Held for Sale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</si>
  <si>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</si>
  <si>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</si>
  <si>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</si>
  <si>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</si>
  <si>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</si>
  <si>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</si>
  <si>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</si>
  <si>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</si>
  <si>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Borrowings (Non-Current)</t>
  </si>
  <si>
    <t>Lease Liabilities (Non-Current)</t>
  </si>
  <si>
    <t>Other Financial Liabilities (Non-Current)</t>
  </si>
  <si>
    <t>Other Non-Current Liabilities</t>
  </si>
  <si>
    <t>Provisions (Non-Current)</t>
  </si>
  <si>
    <t>Deferred Tax Liabilities (Net)</t>
  </si>
  <si>
    <t>Total Non-Current Liabilities</t>
  </si>
  <si>
    <t>Current Liabilities</t>
  </si>
  <si>
    <t>Borrowings (Current)</t>
  </si>
  <si>
    <t>Lease Liabilities (Current)</t>
  </si>
  <si>
    <t>Trade Payables - MSE</t>
  </si>
  <si>
    <t>Trade Payables - Others</t>
  </si>
  <si>
    <t>Other Financial Liabilities (Current)</t>
  </si>
  <si>
    <t>Other Current Liabilities</t>
  </si>
  <si>
    <t>Provisions (Current)</t>
  </si>
  <si>
    <t>Income Tax Liabilities (Net)</t>
  </si>
  <si>
    <t>Total Current Liabilities</t>
  </si>
  <si>
    <t>Liabilities Classified as Held for Sale</t>
  </si>
  <si>
    <t>Total Liabilities</t>
  </si>
  <si>
    <t>TOTAL EQUITY AND LIABILITIES</t>
  </si>
  <si>
    <t>Balance Check (Assets - Equity &amp; Liabilities)</t>
  </si>
  <si>
    <t>Ajanta Pharma Limited — Consolidated Statement of Profit and Loss</t>
  </si>
  <si>
    <t>(₹ in crore)</t>
  </si>
  <si>
    <t>FY26</t>
  </si>
  <si>
    <t>FY25</t>
  </si>
  <si>
    <t>FY24</t>
  </si>
  <si>
    <t>FY23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</si>
  <si>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</si>
  <si>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</si>
  <si>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</si>
  <si>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</si>
  <si>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</si>
  <si>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</si>
  <si>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 of Stock-in-Trade</t>
  </si>
  <si>
    <t>Changes in Inventories</t>
  </si>
  <si>
    <t>Employee Benefits Expense</t>
  </si>
  <si>
    <t>Finance Costs</t>
  </si>
  <si>
    <t>Depreciation and Amortisation</t>
  </si>
  <si>
    <t>Other Expenses</t>
  </si>
  <si>
    <t>Total Expenses</t>
  </si>
  <si>
    <t>Profit Before Tax</t>
  </si>
  <si>
    <t>Tax Expense</t>
  </si>
  <si>
    <t>Current Tax (for current year)</t>
  </si>
  <si>
    <t>Current Tax (for earlier years)</t>
  </si>
  <si>
    <t>Deferred Tax</t>
  </si>
  <si>
    <t>Total Tax Expense</t>
  </si>
  <si>
    <t>Profit for the Year</t>
  </si>
  <si>
    <t>Other Comprehensive Income</t>
  </si>
  <si>
    <t>Remeasurement of Defined Benefit Liability/(Asset)</t>
  </si>
  <si>
    <t>Income Tax on above</t>
  </si>
  <si>
    <t>Net OCI (not reclassified)</t>
  </si>
  <si>
    <t>FX Translation - Foreign Operations</t>
  </si>
  <si>
    <t>Net OCI (reclassified)</t>
  </si>
  <si>
    <t>Total OCI for the Year</t>
  </si>
  <si>
    <t>Total Comprehensive Income</t>
  </si>
  <si>
    <t>Ajanta Pharma Limited — Consolidated Statement of Cash Flow</t>
  </si>
  <si>
    <t>(₹ in crore) — working capital lines aligned across years; FY26/25 use aggregated source categories, FY24/23 use granular source categories grouped to match</t>
  </si>
  <si>
    <t>A. Cash Flow from Operating Activities</t>
  </si>
  <si>
    <t>Add: Depreciation and Amortisation</t>
  </si>
  <si>
    <t>Add: Finance Costs</t>
  </si>
  <si>
    <t>Other Non-Cash/Non-Operating Adjustments (net)</t>
  </si>
  <si>
    <t>Operating Cash Flow before Working Capital Changes</t>
  </si>
  <si>
    <t>(Increase)/Decrease in Trade Receivables</t>
  </si>
  <si>
    <t>(Increase)/Decrease in Other Receivables/Assets (net)</t>
  </si>
  <si>
    <t>(Increase) in Inventories</t>
  </si>
  <si>
    <t>Increase/(Decrease) in Trade Payables</t>
  </si>
  <si>
    <t>Increase in Other Payables/Liabilities (net)</t>
  </si>
  <si>
    <t>Increase/(Decrease) in Provisions</t>
  </si>
  <si>
    <t>Cash Generated from Operating Activities</t>
  </si>
  <si>
    <t>Less: Net Income Tax Paid</t>
  </si>
  <si>
    <t>Net Cash from Operating Activities</t>
  </si>
  <si>
    <t>B. Cash Flow from Investing Activities</t>
  </si>
  <si>
    <t>Capital Expenditure (PP&amp;E + Intangibles)</t>
  </si>
  <si>
    <t>Proceeds from Sale of PP&amp;E</t>
  </si>
  <si>
    <t>Other Investing Adjustments (net)</t>
  </si>
  <si>
    <t>Purchase of Current Investments</t>
  </si>
  <si>
    <t>Proceeds from Sale of Current Investments</t>
  </si>
  <si>
    <t>Income on Investments and Deposits</t>
  </si>
  <si>
    <t>Investment in LLP / Non-Current Investment</t>
  </si>
  <si>
    <t>Net Cash used in Investing Activities</t>
  </si>
  <si>
    <t>C. Cash Flow from Financing Activities</t>
  </si>
  <si>
    <t>Proceeds from Issue of Equity Shares</t>
  </si>
  <si>
    <t>Proceeds/(Repayment) of Borrowings (net)</t>
  </si>
  <si>
    <t>Interest Paid</t>
  </si>
  <si>
    <t>Payment of Lease Liability</t>
  </si>
  <si>
    <t>Payment for Buyback of Equity Shares (incl. expenses)</t>
  </si>
  <si>
    <t>Dividend Paid</t>
  </si>
  <si>
    <t>Net Cash used in Financing Activities</t>
  </si>
  <si>
    <t>Net Increase/(Decrease) in Cash and Cash Equivalents</t>
  </si>
  <si>
    <t>Opening Balance of Cash and Cash Equivalents</t>
  </si>
  <si>
    <t>Closing Balance of Cash and Cash Equivalents</t>
  </si>
  <si>
    <t>Ajanta Pharma Limited — LBO Transaction Assumptions</t>
  </si>
  <si>
    <t>(₹ in crore unless stated)</t>
  </si>
  <si>
    <t>Deal Terms</t>
  </si>
  <si>
    <t>Entry EV/EBITDA Multiple</t>
  </si>
  <si>
    <t>Exit EV/EBITDA Multiple</t>
  </si>
  <si>
    <t>Holding Period (years)</t>
  </si>
  <si>
    <t>Transaction Fees (% of EV)</t>
  </si>
  <si>
    <t>Leverage &amp; Debt Terms</t>
  </si>
  <si>
    <t>Entry Leverage (Debt / EBITDA, turns)</t>
  </si>
  <si>
    <t>Term Loan Interest Rate</t>
  </si>
  <si>
    <t>Mandatory Amortization (% of original principal / year)</t>
  </si>
  <si>
    <t>Cash Sweep % (of excess FCF beyond mandatory amort)</t>
  </si>
  <si>
    <t>FY26A Anchor Financials (from historicals)</t>
  </si>
  <si>
    <t>FY26A Revenue</t>
  </si>
  <si>
    <t>FY26A EBITDA (EBIT + D&amp;A)</t>
  </si>
  <si>
    <t>Note: EBITDA is computed as PBT + Finance Costs + D&amp;A, as Ajanta reports Finance Costs within pre-tax profit.</t>
  </si>
  <si>
    <t>FY26A Total Debt (Non-Current + Current Borrowings)</t>
  </si>
  <si>
    <t>FY26A Cash and Cash Equivalents</t>
  </si>
  <si>
    <t>Implied Entry Valuation (once multiple is set)</t>
  </si>
  <si>
    <t>Entry Enterprise Value (EV) = FY26A EBITDA x Entry Multiple</t>
  </si>
  <si>
    <t>Less: Existing Net Debt (Total Debt - Cash)</t>
  </si>
  <si>
    <t>Implied Equity Purchase Price</t>
  </si>
  <si>
    <t>NOTE ON ENTRY MULTIPLE ASSUMPTION</t>
  </si>
  <si>
    <t>Ajanta Pharma currently trades at ~24-26x EV/EBITDA (per stockanalysis.com, valueinvesting.io, topstockresearch.com, June 2026), reflecting its premium growth and quality profile.</t>
  </si>
  <si>
    <t>The 9x entry multiple used in this model is a deliberately conservative, illustrative assumption -- NOT a claim that Ajanta is actually available at this price.</t>
  </si>
  <si>
    <t>This choice was made to construct a realistic, debt-capacity-supportable LBO structure (76% debt / 24% equity at 7x leverage) for the purpose of demonstrating LBO mechanics: Sources &amp; Uses, debt paydown, cash sweep, and returns calculation.</t>
  </si>
  <si>
    <t>A real-world buyout of Ajanta at its actual trading multiple would require either a much larger equity check (~78% equity at 18x) or unrealistic leverage (10x+) to remain debt-heavy -- illustrating why premium, high-growth public companies are less common LBO targets than stable, lower-multiple cash generators.</t>
  </si>
  <si>
    <t>Ajanta Pharma Limited — Sources &amp; Uses</t>
  </si>
  <si>
    <t>(₹ in crore) — at transaction close</t>
  </si>
  <si>
    <t>USES</t>
  </si>
  <si>
    <t>Equity Purchase Price</t>
  </si>
  <si>
    <t>Note: Existing debt is not shown as a separate use — it is already netted into the Equity Purchase Price (Entry EV less net existing debt).</t>
  </si>
  <si>
    <t>Transaction Fees</t>
  </si>
  <si>
    <t>Total Uses</t>
  </si>
  <si>
    <t>SOURCES</t>
  </si>
  <si>
    <t>New Term Loan (sized off leverage assumption)</t>
  </si>
  <si>
    <t>Sponsor Equity (plug)</t>
  </si>
  <si>
    <t>Total Sources</t>
  </si>
  <si>
    <t>Check: Total Sources = Total Uses</t>
  </si>
  <si>
    <t>Memo</t>
  </si>
  <si>
    <t>Entry Leverage actually achieved (New Debt / FY26A EBITDA)</t>
  </si>
  <si>
    <t>Equity as % of Total Sources</t>
  </si>
  <si>
    <t>Resulting Debt / Equity Ratio (output, not an input)</t>
  </si>
  <si>
    <t>Debt as % of Total Sources</t>
  </si>
  <si>
    <t>Equity as % of Total Sources (already shown above as B21, repeated for clarity)</t>
  </si>
  <si>
    <t>Ajanta Pharma Limited — Opening Pro Forma Balance Sheet (Post-Transaction)</t>
  </si>
  <si>
    <t>(₹ in crore) — at transaction close, Day 1</t>
  </si>
  <si>
    <t>FY26A (Pre-Deal)</t>
  </si>
  <si>
    <t>Adjustments</t>
  </si>
  <si>
    <t>Pro Forma (Post-Deal)</t>
  </si>
  <si>
    <t>Non-Current Assets (excl. Goodwill, unchanged from FY26A)</t>
  </si>
  <si>
    <t>Goodwill (new, created at transaction — plug)</t>
  </si>
  <si>
    <t>Note: Goodwill is the excess of Equity Purchase Price over net identifiable assets acquired.</t>
  </si>
  <si>
    <t>Total Non-Current Assets (Pro Forma)</t>
  </si>
  <si>
    <t>Current Assets (unchanged from FY26A, excl. Cash)</t>
  </si>
  <si>
    <t>Cash and Cash Equivalents (Day 1 — swept at close, standard cash-free/debt-free LBO convention)</t>
  </si>
  <si>
    <t>Note: Under the cash-free/debt-free convention, the target's existing cash is retained by the seller at close; the buyer begins Day 1 with zero cash.</t>
  </si>
  <si>
    <t>Total Current Assets (Pro Forma)</t>
  </si>
  <si>
    <t>TOTAL ASSETS (Pro Forma)</t>
  </si>
  <si>
    <t>Equity (Old equity wiped; New Sponsor Equity Contributed per Sources &amp; Uses)</t>
  </si>
  <si>
    <t>Less: Transaction Fees Expensed at Close</t>
  </si>
  <si>
    <t>Opening Equity (Pro Forma, net of fees)</t>
  </si>
  <si>
    <t>Borrowings (Old Non-Current Borrowings wiped; New Term Loan per Sources &amp; Uses)</t>
  </si>
  <si>
    <t>Other Non-Current Liabilities (unchanged, excl. old Borrowings)</t>
  </si>
  <si>
    <t>Total Non-Current Liabilities (Pro Forma)</t>
  </si>
  <si>
    <t>Current Liabilities (Old Current Borrowings repaid at close; Other Current Liabilities unchanged)</t>
  </si>
  <si>
    <t>Note: The target's pre-deal current borrowings are repaid at close and do not carry into the pro forma balance sheet.</t>
  </si>
  <si>
    <t>Total Liabilities (Pro Forma)</t>
  </si>
  <si>
    <t>TOTAL EQUITY AND LIABILITIES (Pro Forma)</t>
  </si>
  <si>
    <t>Balance Check (Total Assets - Total Equity &amp; Liabilities)</t>
  </si>
  <si>
    <t>Ajanta Pharma LBO — Operating Model (Holding Period Projections)</t>
  </si>
  <si>
    <t>(₹ in crore) — Year 0 = FY26A anchor; Years 1-5 = holding period</t>
  </si>
  <si>
    <t>Year 0 (FY26A)</t>
  </si>
  <si>
    <t>Year 1</t>
  </si>
  <si>
    <t>Year 2</t>
  </si>
  <si>
    <t>Year 3</t>
  </si>
  <si>
    <t>Year 4</t>
  </si>
  <si>
    <t>Year 5 (Exit)</t>
  </si>
  <si>
    <t>Assumptions</t>
  </si>
  <si>
    <t>Revenue Growth %</t>
  </si>
  <si>
    <t>EBITDA Margin %</t>
  </si>
  <si>
    <t>D&amp;A % Revenue</t>
  </si>
  <si>
    <t>Tax Rate</t>
  </si>
  <si>
    <t>Capex % Revenue</t>
  </si>
  <si>
    <t>Income Statement</t>
  </si>
  <si>
    <t>Revenue</t>
  </si>
  <si>
    <t>EBITDA</t>
  </si>
  <si>
    <t>Less: D&amp;A</t>
  </si>
  <si>
    <t>EBIT</t>
  </si>
  <si>
    <t>Less: Interest Expense [Debt Schedule]</t>
  </si>
  <si>
    <t>EBT (Earnings Before Tax)</t>
  </si>
  <si>
    <t>Less: Tax</t>
  </si>
  <si>
    <t>Net Income</t>
  </si>
  <si>
    <t>Free Cash Flow for Debt Paydown</t>
  </si>
  <si>
    <t>Less: Cash Interest Paid [Debt Schedule]</t>
  </si>
  <si>
    <t>Less: Cash Taxes</t>
  </si>
  <si>
    <t>Less: Capex</t>
  </si>
  <si>
    <t>Less: Increase in Net Working Capital (simplified)</t>
  </si>
  <si>
    <t>Free Cash Flow</t>
  </si>
  <si>
    <t>Ajanta Pharma LBO — Debt Schedule</t>
  </si>
  <si>
    <t>Year 0 (Day 1)</t>
  </si>
  <si>
    <t>Year 5</t>
  </si>
  <si>
    <t>Term Loan</t>
  </si>
  <si>
    <t>Opening Balance</t>
  </si>
  <si>
    <t>Less: Mandatory Amortization</t>
  </si>
  <si>
    <t>Less: Cash Sweep (excess FCF after mandatory amort)</t>
  </si>
  <si>
    <t>Closing Balance</t>
  </si>
  <si>
    <t>Average Balance (for interest calculation)</t>
  </si>
  <si>
    <t>Interest Expense</t>
  </si>
  <si>
    <t>Ajanta Pharma LBO — Returns &amp; Exit Analysis</t>
  </si>
  <si>
    <t>Exit Valuation</t>
  </si>
  <si>
    <t>Exit Year EBITDA (Year 5)</t>
  </si>
  <si>
    <t>Exit Enterprise Value</t>
  </si>
  <si>
    <t>Bridge to Equity Value</t>
  </si>
  <si>
    <t>Less: Remaining Debt (Year 5 Closing Balance)</t>
  </si>
  <si>
    <t>Add: Cash (Year 5 — simplified, held at 0 per cash sweep policy)</t>
  </si>
  <si>
    <t>Exit Equity Value</t>
  </si>
  <si>
    <t>Returns to Sponsor</t>
  </si>
  <si>
    <t>Sponsor Equity Invested (Year 0, net of fees — positive = cash in)</t>
  </si>
  <si>
    <t>Exit Equity Value (Year 5)</t>
  </si>
  <si>
    <t>MOIC (Multiple on Invested Capital)</t>
  </si>
  <si>
    <t>IRR (Internal Rate of Return)</t>
  </si>
  <si>
    <t>Note: IRR is computed on a single entry outflow and single exit inflow over the holding period (no interim distributions modeled).</t>
  </si>
  <si>
    <t>Ajanta Pharma LBO — Sensitivity Analysis</t>
  </si>
  <si>
    <t>Returns across key deal assumptions. Base case (9.0x entry / 9.0x exit / 7.0x leverage) highlighted.</t>
  </si>
  <si>
    <t>Table 1 — IRR Sensitivity: Entry Multiple (rows) vs. Exit Multiple (columns)</t>
  </si>
  <si>
    <t>Entry ↓ / Exit →</t>
  </si>
  <si>
    <t>8.0x</t>
  </si>
  <si>
    <t>9.0x</t>
  </si>
  <si>
    <t>10.0x</t>
  </si>
  <si>
    <t>11.0x</t>
  </si>
  <si>
    <t>12.0x</t>
  </si>
  <si>
    <t>Table 2 — MOIC Sensitivity: Leverage (rows) vs. Exit Multiple (columns)</t>
  </si>
  <si>
    <t>Lev ↓ / Exit →</t>
  </si>
  <si>
    <t>4.0x</t>
  </si>
  <si>
    <t>5.0x</t>
  </si>
  <si>
    <t>6.0x</t>
  </si>
  <si>
    <t>7.0x</t>
  </si>
  <si>
    <t>Note: Values computed from the model's operating projections and debt schedule across each assumption combination. "n/m" = not meaningful (debt would exceed purchase price, or negative equity).</t>
  </si>
  <si>
    <t>Base case returns: 39.3% IRR / 5.25x MOIC at 9.0x entry, 9.0x exit, 7.0x leverage.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</si>
</sst>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\x"/>
    <numFmt numFmtId="166" formatCode="0.0%;\(0.0%\);\-"/>
    <numFmt numFmtId="167" formatCode="0.00\x"/>
    <numFmt numFmtId="168" formatCode="0.0%"/>
  </numFmts>
  <fonts count="19" x14ac:knownFonts="1">
    <font>
      <sz val="11"/>
      <color theme="1"/>
      <name val="Calibri"/>
      <family val="2"/>
      <charset val="1"/>
    </font>
    <font>
      <b/>
      <sz val="14"/>
      <name val="Calibri"/>
      <charset val="1"/>
    </font>
    <font>
      <i/>
      <sz val="9"/>
      <color rgb="FF555555"/>
      <name val="Calibri"/>
      <charset val="1"/>
    </font>
    <font>
      <b/>
      <sz val="10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FF"/>
      <name val="Calibri"/>
      <charset val="1"/>
    </font>
    <font>
      <b/>
      <sz val="11"/>
      <color rgb="FF0000FF"/>
      <name val="Calibri"/>
      <charset val="1"/>
    </font>
    <font>
      <i/>
      <sz val="8"/>
      <color rgb="FF888888"/>
      <name val="Calibri"/>
      <charset val="1"/>
    </font>
    <font>
      <sz val="11"/>
      <color rgb="FF008000"/>
      <name val="Calibri"/>
      <charset val="1"/>
    </font>
    <font>
      <i/>
      <sz val="11"/>
      <color rgb="FFC55A11"/>
      <name val="Calibri"/>
      <charset val="1"/>
    </font>
    <font>
      <b/>
      <sz val="11"/>
      <color rgb="FF008000"/>
      <name val="Calibri"/>
      <charset val="1"/>
    </font>
    <font>
      <i/>
      <sz val="8.5"/>
      <color rgb="FF888888"/>
      <name val="Calibri"/>
      <charset val="1"/>
    </font>
    <font>
      <b/>
      <sz val="11"/>
      <name val="Cambria"/>
      <charset val="1"/>
    </font>
    <font>
      <b/>
      <sz val="10"/>
      <name val="Calibri"/>
      <charset val="1"/>
    </font>
    <font>
      <sz val="10"/>
      <name val="Calibri"/>
      <charset val="1"/>
    </font>
    <font>
      <i/>
      <sz val="11"/>
      <color rgb="FFC55A11"/>
      <name val="Cambria"/>
      <charset val="1"/>
    </font>
    <font>
      <i/>
      <sz val="8.5"/>
      <name val="Cambria"/>
      <charset val="1"/>
    </font>
    <font>
      <i/>
      <sz val="8.5"/>
      <color rgb="FF888888"/>
      <name val="Cambria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0FE"/>
        <bgColor rgb="FFF8F9F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D6E4F7"/>
        <bgColor rgb="FFD9D9D9"/>
      </patternFill>
    </fill>
    <fill>
      <patternFill patternType="solid">
        <fgColor rgb="FF2E4F91"/>
        <bgColor rgb="FF1F3864"/>
      </patternFill>
    </fill>
    <fill>
      <patternFill patternType="solid">
        <fgColor rgb="FFFFF2CC"/>
        <bgColor rgb="FFF8F9F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D9D9D9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164" fontId="4" fillId="3" borderId="2" xfId="0" applyNumberFormat="1" applyFont="1" applyFill="1" applyBorder="1"/>
    <xf numFmtId="0" fontId="5" fillId="4" borderId="3" xfId="0" applyFont="1" applyFill="1" applyBorder="1"/>
    <xf numFmtId="164" fontId="6" fillId="4" borderId="3" xfId="0" applyNumberFormat="1" applyFont="1" applyFill="1" applyBorder="1"/>
    <xf numFmtId="0" fontId="5" fillId="5" borderId="3" xfId="0" applyFont="1" applyFill="1" applyBorder="1"/>
    <xf numFmtId="164" fontId="6" fillId="5" borderId="3" xfId="0" applyNumberFormat="1" applyFont="1" applyFill="1" applyBorder="1"/>
    <xf numFmtId="0" fontId="4" fillId="6" borderId="4" xfId="0" applyFont="1" applyFill="1" applyBorder="1"/>
    <xf numFmtId="164" fontId="4" fillId="6" borderId="4" xfId="0" applyNumberFormat="1" applyFont="1" applyFill="1" applyBorder="1"/>
    <xf numFmtId="0" fontId="0" fillId="4" borderId="0" xfId="0" applyFill="1"/>
    <xf numFmtId="164" fontId="5" fillId="4" borderId="3" xfId="0" applyNumberFormat="1" applyFont="1" applyFill="1" applyBorder="1"/>
    <xf numFmtId="164" fontId="5" fillId="5" borderId="3" xfId="0" applyNumberFormat="1" applyFont="1" applyFill="1" applyBorder="1"/>
    <xf numFmtId="164" fontId="7" fillId="6" borderId="4" xfId="0" applyNumberFormat="1" applyFont="1" applyFill="1" applyBorder="1"/>
    <xf numFmtId="165" fontId="6" fillId="4" borderId="3" xfId="0" applyNumberFormat="1" applyFont="1" applyFill="1" applyBorder="1"/>
    <xf numFmtId="165" fontId="7" fillId="6" borderId="4" xfId="0" applyNumberFormat="1" applyFont="1" applyFill="1" applyBorder="1"/>
    <xf numFmtId="166" fontId="6" fillId="4" borderId="3" xfId="0" applyNumberFormat="1" applyFont="1" applyFill="1" applyBorder="1"/>
    <xf numFmtId="0" fontId="8" fillId="4" borderId="0" xfId="0" applyFont="1" applyFill="1"/>
    <xf numFmtId="165" fontId="6" fillId="5" borderId="3" xfId="0" applyNumberFormat="1" applyFont="1" applyFill="1" applyBorder="1"/>
    <xf numFmtId="166" fontId="6" fillId="5" borderId="3" xfId="0" applyNumberFormat="1" applyFont="1" applyFill="1" applyBorder="1"/>
    <xf numFmtId="164" fontId="9" fillId="5" borderId="3" xfId="0" applyNumberFormat="1" applyFont="1" applyFill="1" applyBorder="1"/>
    <xf numFmtId="164" fontId="9" fillId="4" borderId="3" xfId="0" applyNumberFormat="1" applyFont="1" applyFill="1" applyBorder="1"/>
    <xf numFmtId="0" fontId="2" fillId="4" borderId="0" xfId="0" applyFont="1" applyFill="1"/>
    <xf numFmtId="0" fontId="2" fillId="4" borderId="3" xfId="0" applyFont="1" applyFill="1" applyBorder="1"/>
    <xf numFmtId="0" fontId="2" fillId="5" borderId="3" xfId="0" applyFont="1" applyFill="1" applyBorder="1"/>
    <xf numFmtId="164" fontId="8" fillId="4" borderId="0" xfId="0" applyNumberFormat="1" applyFont="1" applyFill="1"/>
    <xf numFmtId="166" fontId="5" fillId="5" borderId="3" xfId="0" applyNumberFormat="1" applyFont="1" applyFill="1" applyBorder="1"/>
    <xf numFmtId="166" fontId="5" fillId="4" borderId="3" xfId="0" applyNumberFormat="1" applyFont="1" applyFill="1" applyBorder="1"/>
    <xf numFmtId="0" fontId="10" fillId="5" borderId="3" xfId="0" applyFont="1" applyFill="1" applyBorder="1"/>
    <xf numFmtId="166" fontId="4" fillId="6" borderId="4" xfId="0" applyNumberFormat="1" applyFont="1" applyFill="1" applyBorder="1"/>
    <xf numFmtId="166" fontId="7" fillId="6" borderId="4" xfId="0" applyNumberFormat="1" applyFont="1" applyFill="1" applyBorder="1"/>
    <xf numFmtId="164" fontId="11" fillId="6" borderId="4" xfId="0" applyNumberFormat="1" applyFont="1" applyFill="1" applyBorder="1"/>
    <xf numFmtId="0" fontId="10" fillId="4" borderId="3" xfId="0" applyFont="1" applyFill="1" applyBorder="1"/>
    <xf numFmtId="165" fontId="11" fillId="6" borderId="4" xfId="0" applyNumberFormat="1" applyFont="1" applyFill="1" applyBorder="1"/>
    <xf numFmtId="167" fontId="4" fillId="6" borderId="4" xfId="0" applyNumberFormat="1" applyFont="1" applyFill="1" applyBorder="1"/>
    <xf numFmtId="0" fontId="12" fillId="4" borderId="3" xfId="0" applyFont="1" applyFill="1" applyBorder="1"/>
    <xf numFmtId="0" fontId="13" fillId="0" borderId="0" xfId="0" applyFont="1"/>
    <xf numFmtId="0" fontId="1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68" fontId="15" fillId="5" borderId="1" xfId="0" applyNumberFormat="1" applyFont="1" applyFill="1" applyBorder="1" applyAlignment="1">
      <alignment horizontal="center" vertical="center"/>
    </xf>
    <xf numFmtId="168" fontId="15" fillId="0" borderId="1" xfId="0" applyNumberFormat="1" applyFont="1" applyBorder="1" applyAlignment="1">
      <alignment horizontal="center" vertical="center"/>
    </xf>
    <xf numFmtId="168" fontId="14" fillId="8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167" fontId="15" fillId="0" borderId="1" xfId="0" applyNumberFormat="1" applyFont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0" fontId="18" fillId="0" borderId="0" xfId="0" applyFont="1"/>
    <xf numFmtId="167" fontId="14" fillId="8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8F9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55555"/>
      <rgbColor rgb="FF888888"/>
      <rgbColor rgb="FF1F3864"/>
      <rgbColor rgb="FF339966"/>
      <rgbColor rgb="FF003300"/>
      <rgbColor rgb="FF333300"/>
      <rgbColor rgb="FF993300"/>
      <rgbColor rgb="FF993366"/>
      <rgbColor rgb="FF2E4F9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40" customWidth="1"/>
    <col min="2" max="6" width="7" customWidth="1"/>
  </cols>
  <sheetData>
    <row r="1" spans="1:6" ht="15.75" customHeight="1" x14ac:dyDescent="0.35">
      <c r="A1" s="1" t="s">
        <v>0</v>
      </c>
    </row>
    <row r="2" spans="1:6" ht="15" customHeight="1" x14ac:dyDescent="0.3">
      <c r="A2" s="2" t="s">
        <v>1</v>
      </c>
    </row>
    <row r="4" spans="1:6" ht="21.75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5" customHeight="1" x14ac:dyDescent="0.3">
      <c r="A5" s="4" t="s">
        <v>8</v>
      </c>
      <c r="B5" s="4"/>
      <c r="C5" s="5"/>
      <c r="D5" s="5"/>
      <c r="E5" s="5"/>
      <c r="F5" s="5"/>
    </row>
    <row r="6" spans="1:6" ht="15" customHeight="1" x14ac:dyDescent="0.3">
      <c r="A6" s="4" t="s">
        <v>9</v>
      </c>
      <c r="B6" s="4"/>
      <c r="C6" s="5"/>
      <c r="D6" s="5"/>
      <c r="E6" s="5"/>
      <c r="F6" s="5"/>
    </row>
    <row r="7" spans="1:6" ht="15" customHeight="1" x14ac:dyDescent="0.3">
      <c r="A7" s="6" t="s">
        <v>10</v>
      </c>
      <c r="B7" s="6">
        <v>8</v>
      </c>
      <c r="C7" s="7">
        <v>1726.35</v>
      </c>
      <c r="D7" s="7">
        <v>1624.87</v>
      </c>
      <c r="E7" s="7">
        <v>1384.13</v>
      </c>
      <c r="F7" s="7">
        <v>1407.83</v>
      </c>
    </row>
    <row r="8" spans="1:6" ht="15" customHeight="1" x14ac:dyDescent="0.3">
      <c r="A8" s="8" t="s">
        <v>11</v>
      </c>
      <c r="B8" s="8">
        <v>8</v>
      </c>
      <c r="C8" s="9">
        <v>258.05</v>
      </c>
      <c r="D8" s="9">
        <v>176.27</v>
      </c>
      <c r="E8" s="9">
        <v>256.45</v>
      </c>
      <c r="F8" s="9">
        <v>209.47</v>
      </c>
    </row>
    <row r="9" spans="1:6" ht="15" customHeight="1" x14ac:dyDescent="0.3">
      <c r="A9" s="6" t="s">
        <v>12</v>
      </c>
      <c r="B9" s="6">
        <v>8</v>
      </c>
      <c r="C9" s="7">
        <v>99.02</v>
      </c>
      <c r="D9" s="7">
        <v>90.63</v>
      </c>
      <c r="E9" s="7">
        <v>80.400000000000006</v>
      </c>
      <c r="F9" s="7">
        <v>80.86</v>
      </c>
    </row>
    <row r="10" spans="1:6" ht="15" customHeight="1" x14ac:dyDescent="0.3">
      <c r="A10" s="8" t="s">
        <v>13</v>
      </c>
      <c r="B10" s="8">
        <v>8</v>
      </c>
      <c r="C10" s="9">
        <v>41.58</v>
      </c>
      <c r="D10" s="9">
        <v>46.52</v>
      </c>
      <c r="E10" s="9">
        <v>14.66</v>
      </c>
      <c r="F10" s="9">
        <v>7.75</v>
      </c>
    </row>
    <row r="11" spans="1:6" ht="15" customHeight="1" x14ac:dyDescent="0.3">
      <c r="A11" s="6" t="s">
        <v>14</v>
      </c>
      <c r="B11" s="6">
        <v>9</v>
      </c>
      <c r="C11" s="7">
        <v>28.5</v>
      </c>
      <c r="D11" s="7">
        <v>25.24</v>
      </c>
      <c r="E11" s="7">
        <v>18.579999999999998</v>
      </c>
      <c r="F11" s="7">
        <v>25.1</v>
      </c>
    </row>
    <row r="12" spans="1:6" ht="15" customHeight="1" x14ac:dyDescent="0.3">
      <c r="A12" s="8" t="s">
        <v>15</v>
      </c>
      <c r="B12" s="8">
        <v>10</v>
      </c>
      <c r="C12" s="9">
        <v>7.99</v>
      </c>
      <c r="D12" s="9">
        <v>9.25</v>
      </c>
      <c r="E12" s="9">
        <v>9.36</v>
      </c>
      <c r="F12" s="9">
        <v>11.09</v>
      </c>
    </row>
    <row r="13" spans="1:6" ht="15" customHeight="1" x14ac:dyDescent="0.3">
      <c r="A13" s="6" t="s">
        <v>16</v>
      </c>
      <c r="B13" s="6">
        <v>11</v>
      </c>
      <c r="C13" s="7">
        <v>188.59</v>
      </c>
      <c r="D13" s="7">
        <v>186.43</v>
      </c>
      <c r="E13" s="7">
        <v>134.44999999999999</v>
      </c>
      <c r="F13" s="7">
        <v>96.77</v>
      </c>
    </row>
    <row r="14" spans="1:6" ht="15" customHeight="1" x14ac:dyDescent="0.3">
      <c r="A14" s="8" t="s">
        <v>17</v>
      </c>
      <c r="B14" s="8">
        <v>12</v>
      </c>
      <c r="C14" s="9">
        <v>7.56</v>
      </c>
      <c r="D14" s="9">
        <v>0</v>
      </c>
      <c r="E14" s="9">
        <v>0</v>
      </c>
      <c r="F14" s="9">
        <v>0.83</v>
      </c>
    </row>
    <row r="15" spans="1:6" ht="15" customHeight="1" x14ac:dyDescent="0.3">
      <c r="A15" s="6" t="s">
        <v>18</v>
      </c>
      <c r="B15" s="6">
        <v>13</v>
      </c>
      <c r="C15" s="7">
        <v>61.77</v>
      </c>
      <c r="D15" s="7">
        <v>12.71</v>
      </c>
      <c r="E15" s="7">
        <v>9.44</v>
      </c>
      <c r="F15" s="7">
        <v>5.32</v>
      </c>
    </row>
    <row r="16" spans="1:6" ht="15.75" customHeight="1" x14ac:dyDescent="0.3">
      <c r="A16" s="10" t="s">
        <v>19</v>
      </c>
      <c r="B16" s="10"/>
      <c r="C16" s="11">
        <f>SUM(C7:C15)</f>
        <v>2419.41</v>
      </c>
      <c r="D16" s="11">
        <f>SUM(D7:D15)</f>
        <v>2171.92</v>
      </c>
      <c r="E16" s="11">
        <f>SUM(E7:E15)</f>
        <v>1907.4700000000003</v>
      </c>
      <c r="F16" s="11">
        <f>SUM(F7:F15)</f>
        <v>1845.0199999999995</v>
      </c>
    </row>
    <row r="17" spans="1:6" ht="15" customHeight="1" x14ac:dyDescent="0.3">
      <c r="A17" s="12"/>
      <c r="B17" s="12"/>
      <c r="C17" s="12"/>
      <c r="D17" s="12"/>
      <c r="E17" s="12"/>
      <c r="F17" s="12"/>
    </row>
    <row r="18" spans="1:6" ht="15" customHeight="1" x14ac:dyDescent="0.3">
      <c r="A18" s="4" t="s">
        <v>20</v>
      </c>
      <c r="B18" s="4"/>
      <c r="C18" s="5"/>
      <c r="D18" s="5"/>
      <c r="E18" s="5"/>
      <c r="F18" s="5"/>
    </row>
    <row r="19" spans="1:6" ht="15" customHeight="1" x14ac:dyDescent="0.3">
      <c r="A19" s="8" t="s">
        <v>21</v>
      </c>
      <c r="B19" s="8">
        <v>14</v>
      </c>
      <c r="C19" s="9">
        <v>938.54</v>
      </c>
      <c r="D19" s="9">
        <v>903.85</v>
      </c>
      <c r="E19" s="9">
        <v>828.36</v>
      </c>
      <c r="F19" s="9">
        <v>815.63</v>
      </c>
    </row>
    <row r="20" spans="1:6" ht="15" customHeight="1" x14ac:dyDescent="0.3">
      <c r="A20" s="6" t="s">
        <v>22</v>
      </c>
      <c r="B20" s="6">
        <v>15</v>
      </c>
      <c r="C20" s="7">
        <v>559.85</v>
      </c>
      <c r="D20" s="7">
        <v>438.71</v>
      </c>
      <c r="E20" s="7">
        <v>330.05</v>
      </c>
      <c r="F20" s="7">
        <v>510.27</v>
      </c>
    </row>
    <row r="21" spans="1:6" ht="15" customHeight="1" x14ac:dyDescent="0.3">
      <c r="A21" s="8" t="s">
        <v>23</v>
      </c>
      <c r="B21" s="8">
        <v>16</v>
      </c>
      <c r="C21" s="9">
        <v>1853.88</v>
      </c>
      <c r="D21" s="9">
        <v>1182.74</v>
      </c>
      <c r="E21" s="9">
        <v>1246.8399999999999</v>
      </c>
      <c r="F21" s="9">
        <v>1056.9000000000001</v>
      </c>
    </row>
    <row r="22" spans="1:6" ht="15" customHeight="1" x14ac:dyDescent="0.3">
      <c r="A22" s="6" t="s">
        <v>24</v>
      </c>
      <c r="B22" s="6">
        <v>17</v>
      </c>
      <c r="C22" s="7">
        <v>103.26</v>
      </c>
      <c r="D22" s="7">
        <v>175.12</v>
      </c>
      <c r="E22" s="7">
        <v>129.49</v>
      </c>
      <c r="F22" s="7">
        <v>329.83</v>
      </c>
    </row>
    <row r="23" spans="1:6" ht="15" customHeight="1" x14ac:dyDescent="0.3">
      <c r="A23" s="8" t="s">
        <v>25</v>
      </c>
      <c r="B23" s="8">
        <v>18</v>
      </c>
      <c r="C23" s="9">
        <v>1.51</v>
      </c>
      <c r="D23" s="9">
        <v>1.1200000000000001</v>
      </c>
      <c r="E23" s="9">
        <v>1.28</v>
      </c>
      <c r="F23" s="9">
        <v>1.07</v>
      </c>
    </row>
    <row r="24" spans="1:6" ht="15" customHeight="1" x14ac:dyDescent="0.3">
      <c r="A24" s="6" t="s">
        <v>26</v>
      </c>
      <c r="B24" s="6">
        <v>19</v>
      </c>
      <c r="C24" s="7">
        <v>1.68</v>
      </c>
      <c r="D24" s="7">
        <v>2.54</v>
      </c>
      <c r="E24" s="7">
        <v>33.96</v>
      </c>
      <c r="F24" s="7">
        <v>17.39</v>
      </c>
    </row>
    <row r="25" spans="1:6" ht="15" customHeight="1" x14ac:dyDescent="0.3">
      <c r="A25" s="8" t="s">
        <v>27</v>
      </c>
      <c r="B25" s="8">
        <v>20</v>
      </c>
      <c r="C25" s="9">
        <v>8.98</v>
      </c>
      <c r="D25" s="9">
        <v>2.3199999999999998</v>
      </c>
      <c r="E25" s="9">
        <v>19.02</v>
      </c>
      <c r="F25" s="9">
        <v>2.48</v>
      </c>
    </row>
    <row r="26" spans="1:6" ht="15" customHeight="1" x14ac:dyDescent="0.3">
      <c r="A26" s="6" t="s">
        <v>28</v>
      </c>
      <c r="B26" s="6">
        <v>21</v>
      </c>
      <c r="C26" s="7">
        <v>267.73</v>
      </c>
      <c r="D26" s="7">
        <v>123.3</v>
      </c>
      <c r="E26" s="7">
        <v>133.07</v>
      </c>
      <c r="F26" s="7">
        <v>91.61</v>
      </c>
    </row>
    <row r="27" spans="1:6" ht="15" customHeight="1" x14ac:dyDescent="0.3">
      <c r="A27" s="8" t="s">
        <v>29</v>
      </c>
      <c r="B27" s="8">
        <v>22</v>
      </c>
      <c r="C27" s="9">
        <v>0</v>
      </c>
      <c r="D27" s="9">
        <v>13.33</v>
      </c>
      <c r="E27" s="9">
        <v>8.85</v>
      </c>
      <c r="F27" s="9">
        <v>8.82</v>
      </c>
    </row>
    <row r="28" spans="1:6" ht="15.75" customHeight="1" x14ac:dyDescent="0.3">
      <c r="A28" s="10" t="s">
        <v>30</v>
      </c>
      <c r="B28" s="10"/>
      <c r="C28" s="11">
        <f>SUM(C19:C27)</f>
        <v>3735.4300000000003</v>
      </c>
      <c r="D28" s="11">
        <f>SUM(D19:D27)</f>
        <v>2843.03</v>
      </c>
      <c r="E28" s="11">
        <f>SUM(E19:E27)</f>
        <v>2730.92</v>
      </c>
      <c r="F28" s="11">
        <f>SUM(F19:F27)</f>
        <v>2834.0000000000005</v>
      </c>
    </row>
    <row r="29" spans="1:6" ht="15" customHeight="1" x14ac:dyDescent="0.3">
      <c r="A29" s="12"/>
      <c r="B29" s="12"/>
      <c r="C29" s="12"/>
      <c r="D29" s="12"/>
      <c r="E29" s="12"/>
      <c r="F29" s="12"/>
    </row>
    <row r="30" spans="1:6" ht="15.75" customHeight="1" x14ac:dyDescent="0.3">
      <c r="A30" s="10" t="s">
        <v>31</v>
      </c>
      <c r="B30" s="10"/>
      <c r="C30" s="11">
        <f>C16+C28</f>
        <v>6154.84</v>
      </c>
      <c r="D30" s="11">
        <f>D16+D28</f>
        <v>5014.9500000000007</v>
      </c>
      <c r="E30" s="11">
        <f>E16+E28</f>
        <v>4638.3900000000003</v>
      </c>
      <c r="F30" s="11">
        <f>F16+F28</f>
        <v>4679.0200000000004</v>
      </c>
    </row>
    <row r="31" spans="1:6" ht="15" customHeight="1" x14ac:dyDescent="0.3">
      <c r="A31" s="12"/>
      <c r="B31" s="12"/>
      <c r="C31" s="12"/>
      <c r="D31" s="12"/>
      <c r="E31" s="12"/>
      <c r="F31" s="12"/>
    </row>
    <row r="32" spans="1:6" ht="15" customHeight="1" x14ac:dyDescent="0.3">
      <c r="A32" s="4" t="s">
        <v>32</v>
      </c>
      <c r="B32" s="4"/>
      <c r="C32" s="5"/>
      <c r="D32" s="5"/>
      <c r="E32" s="5"/>
      <c r="F32" s="5"/>
    </row>
    <row r="33" spans="1:6" ht="15" customHeight="1" x14ac:dyDescent="0.3">
      <c r="A33" s="4" t="s">
        <v>33</v>
      </c>
      <c r="B33" s="4"/>
      <c r="C33" s="5"/>
      <c r="D33" s="5"/>
      <c r="E33" s="5"/>
      <c r="F33" s="5"/>
    </row>
    <row r="34" spans="1:6" ht="15" customHeight="1" x14ac:dyDescent="0.3">
      <c r="A34" s="6" t="s">
        <v>34</v>
      </c>
      <c r="B34" s="6">
        <v>23</v>
      </c>
      <c r="C34" s="7">
        <v>25.07</v>
      </c>
      <c r="D34" s="7">
        <v>25.07</v>
      </c>
      <c r="E34" s="7">
        <v>25.27</v>
      </c>
      <c r="F34" s="7">
        <v>25.27</v>
      </c>
    </row>
    <row r="35" spans="1:6" ht="15" customHeight="1" x14ac:dyDescent="0.3">
      <c r="A35" s="8" t="s">
        <v>35</v>
      </c>
      <c r="B35" s="8">
        <v>24</v>
      </c>
      <c r="C35" s="9">
        <v>4502.0200000000004</v>
      </c>
      <c r="D35" s="9">
        <v>3765.22</v>
      </c>
      <c r="E35" s="9">
        <v>3542.09</v>
      </c>
      <c r="F35" s="9">
        <v>3362.72</v>
      </c>
    </row>
    <row r="36" spans="1:6" ht="15.75" customHeight="1" x14ac:dyDescent="0.3">
      <c r="A36" s="10" t="s">
        <v>36</v>
      </c>
      <c r="B36" s="10"/>
      <c r="C36" s="11">
        <f>SUM(C34:C35)</f>
        <v>4527.09</v>
      </c>
      <c r="D36" s="11">
        <f>SUM(D34:D35)</f>
        <v>3790.29</v>
      </c>
      <c r="E36" s="11">
        <f>SUM(E34:E35)</f>
        <v>3567.36</v>
      </c>
      <c r="F36" s="11">
        <f>SUM(F34:F35)</f>
        <v>3387.99</v>
      </c>
    </row>
    <row r="37" spans="1:6" ht="15" customHeight="1" x14ac:dyDescent="0.3">
      <c r="A37" s="12"/>
      <c r="B37" s="12"/>
      <c r="C37" s="12"/>
      <c r="D37" s="12"/>
      <c r="E37" s="12"/>
      <c r="F37" s="12"/>
    </row>
    <row r="38" spans="1:6" ht="15" customHeight="1" x14ac:dyDescent="0.3">
      <c r="A38" s="4" t="s">
        <v>37</v>
      </c>
      <c r="B38" s="4"/>
      <c r="C38" s="5"/>
      <c r="D38" s="5"/>
      <c r="E38" s="5"/>
      <c r="F38" s="5"/>
    </row>
    <row r="39" spans="1:6" ht="15" customHeight="1" x14ac:dyDescent="0.3">
      <c r="A39" s="6" t="s">
        <v>38</v>
      </c>
      <c r="B39" s="6">
        <v>25</v>
      </c>
      <c r="C39" s="7">
        <v>0</v>
      </c>
      <c r="D39" s="7">
        <v>0</v>
      </c>
      <c r="E39" s="7">
        <v>0</v>
      </c>
      <c r="F39" s="7">
        <v>1.25</v>
      </c>
    </row>
    <row r="40" spans="1:6" ht="15" customHeight="1" x14ac:dyDescent="0.3">
      <c r="A40" s="8" t="s">
        <v>39</v>
      </c>
      <c r="B40" s="8">
        <v>25</v>
      </c>
      <c r="C40" s="9">
        <v>39.42</v>
      </c>
      <c r="D40" s="9">
        <v>34.72</v>
      </c>
      <c r="E40" s="9">
        <v>23.52</v>
      </c>
      <c r="F40" s="9">
        <v>24.95</v>
      </c>
    </row>
    <row r="41" spans="1:6" ht="15" customHeight="1" x14ac:dyDescent="0.3">
      <c r="A41" s="6" t="s">
        <v>40</v>
      </c>
      <c r="B41" s="6">
        <v>26</v>
      </c>
      <c r="C41" s="7">
        <v>1.82</v>
      </c>
      <c r="D41" s="7">
        <v>1.05</v>
      </c>
      <c r="E41" s="7">
        <v>1.37</v>
      </c>
      <c r="F41" s="7">
        <v>1.01</v>
      </c>
    </row>
    <row r="42" spans="1:6" ht="15" customHeight="1" x14ac:dyDescent="0.3">
      <c r="A42" s="8" t="s">
        <v>41</v>
      </c>
      <c r="B42" s="8">
        <v>27</v>
      </c>
      <c r="C42" s="9">
        <v>1.67</v>
      </c>
      <c r="D42" s="9">
        <v>2</v>
      </c>
      <c r="E42" s="9">
        <v>2.34</v>
      </c>
      <c r="F42" s="9">
        <v>2.67</v>
      </c>
    </row>
    <row r="43" spans="1:6" ht="15" customHeight="1" x14ac:dyDescent="0.3">
      <c r="A43" s="6" t="s">
        <v>42</v>
      </c>
      <c r="B43" s="6">
        <v>28</v>
      </c>
      <c r="C43" s="7">
        <v>51.15</v>
      </c>
      <c r="D43" s="7">
        <v>80.27</v>
      </c>
      <c r="E43" s="7">
        <v>39.54</v>
      </c>
      <c r="F43" s="7">
        <v>24.15</v>
      </c>
    </row>
    <row r="44" spans="1:6" ht="15" customHeight="1" x14ac:dyDescent="0.3">
      <c r="A44" s="8" t="s">
        <v>43</v>
      </c>
      <c r="B44" s="8">
        <v>29</v>
      </c>
      <c r="C44" s="9">
        <v>117.94</v>
      </c>
      <c r="D44" s="9">
        <v>110.52</v>
      </c>
      <c r="E44" s="9">
        <v>108.5</v>
      </c>
      <c r="F44" s="9">
        <v>97.72</v>
      </c>
    </row>
    <row r="45" spans="1:6" ht="15.75" customHeight="1" x14ac:dyDescent="0.3">
      <c r="A45" s="10" t="s">
        <v>44</v>
      </c>
      <c r="B45" s="10"/>
      <c r="C45" s="11">
        <f>SUM(C39:C44)</f>
        <v>212</v>
      </c>
      <c r="D45" s="11">
        <f>SUM(D39:D44)</f>
        <v>228.56</v>
      </c>
      <c r="E45" s="11">
        <f>SUM(E39:E44)</f>
        <v>175.26999999999998</v>
      </c>
      <c r="F45" s="11">
        <f>SUM(F39:F44)</f>
        <v>151.75</v>
      </c>
    </row>
    <row r="46" spans="1:6" ht="15" customHeight="1" x14ac:dyDescent="0.3">
      <c r="A46" s="12"/>
      <c r="B46" s="12"/>
      <c r="C46" s="12"/>
      <c r="D46" s="12"/>
      <c r="E46" s="12"/>
      <c r="F46" s="12"/>
    </row>
    <row r="47" spans="1:6" ht="15" customHeight="1" x14ac:dyDescent="0.3">
      <c r="A47" s="4" t="s">
        <v>45</v>
      </c>
      <c r="B47" s="4"/>
      <c r="C47" s="5"/>
      <c r="D47" s="5"/>
      <c r="E47" s="5"/>
      <c r="F47" s="5"/>
    </row>
    <row r="48" spans="1:6" ht="15" customHeight="1" x14ac:dyDescent="0.3">
      <c r="A48" s="6" t="s">
        <v>46</v>
      </c>
      <c r="B48" s="6">
        <v>30</v>
      </c>
      <c r="C48" s="7">
        <v>211.99</v>
      </c>
      <c r="D48" s="7">
        <v>2.59</v>
      </c>
      <c r="E48" s="7">
        <v>1.49</v>
      </c>
      <c r="F48" s="7">
        <v>0.18</v>
      </c>
    </row>
    <row r="49" spans="1:6" ht="15" customHeight="1" x14ac:dyDescent="0.3">
      <c r="A49" s="8" t="s">
        <v>47</v>
      </c>
      <c r="B49" s="8">
        <v>31</v>
      </c>
      <c r="C49" s="9">
        <v>8.76</v>
      </c>
      <c r="D49" s="9">
        <v>10.11</v>
      </c>
      <c r="E49" s="9">
        <v>10.27</v>
      </c>
      <c r="F49" s="9">
        <v>9.25</v>
      </c>
    </row>
    <row r="50" spans="1:6" ht="15" customHeight="1" x14ac:dyDescent="0.3">
      <c r="A50" s="6" t="s">
        <v>48</v>
      </c>
      <c r="B50" s="6">
        <v>32</v>
      </c>
      <c r="C50" s="7">
        <v>54.17</v>
      </c>
      <c r="D50" s="7">
        <v>21.55</v>
      </c>
      <c r="E50" s="7">
        <v>20.64</v>
      </c>
      <c r="F50" s="7">
        <v>37.94</v>
      </c>
    </row>
    <row r="51" spans="1:6" ht="15" customHeight="1" x14ac:dyDescent="0.3">
      <c r="A51" s="8" t="s">
        <v>49</v>
      </c>
      <c r="B51" s="8">
        <v>32</v>
      </c>
      <c r="C51" s="9">
        <v>490.13</v>
      </c>
      <c r="D51" s="9">
        <v>432.65</v>
      </c>
      <c r="E51" s="9">
        <v>442.56</v>
      </c>
      <c r="F51" s="9">
        <v>384.83</v>
      </c>
    </row>
    <row r="52" spans="1:6" ht="15" customHeight="1" x14ac:dyDescent="0.3">
      <c r="A52" s="6" t="s">
        <v>50</v>
      </c>
      <c r="B52" s="6">
        <v>33</v>
      </c>
      <c r="C52" s="7">
        <v>495.82</v>
      </c>
      <c r="D52" s="7">
        <v>374.2</v>
      </c>
      <c r="E52" s="7">
        <v>298.02999999999997</v>
      </c>
      <c r="F52" s="7">
        <v>636.84</v>
      </c>
    </row>
    <row r="53" spans="1:6" ht="15" customHeight="1" x14ac:dyDescent="0.3">
      <c r="A53" s="8" t="s">
        <v>51</v>
      </c>
      <c r="B53" s="8">
        <v>34</v>
      </c>
      <c r="C53" s="9">
        <v>119</v>
      </c>
      <c r="D53" s="9">
        <v>91.12</v>
      </c>
      <c r="E53" s="9">
        <v>59.73</v>
      </c>
      <c r="F53" s="9">
        <v>23.15</v>
      </c>
    </row>
    <row r="54" spans="1:6" ht="15" customHeight="1" x14ac:dyDescent="0.3">
      <c r="A54" s="6" t="s">
        <v>52</v>
      </c>
      <c r="B54" s="6">
        <v>35</v>
      </c>
      <c r="C54" s="7">
        <v>30.39</v>
      </c>
      <c r="D54" s="7">
        <v>23.35</v>
      </c>
      <c r="E54" s="7">
        <v>17.760000000000002</v>
      </c>
      <c r="F54" s="7">
        <v>14.02</v>
      </c>
    </row>
    <row r="55" spans="1:6" ht="15" customHeight="1" x14ac:dyDescent="0.3">
      <c r="A55" s="8" t="s">
        <v>53</v>
      </c>
      <c r="B55" s="8">
        <v>36</v>
      </c>
      <c r="C55" s="9">
        <v>5.49</v>
      </c>
      <c r="D55" s="9">
        <v>40.53</v>
      </c>
      <c r="E55" s="9">
        <v>44.77</v>
      </c>
      <c r="F55" s="9">
        <v>33.07</v>
      </c>
    </row>
    <row r="56" spans="1:6" ht="15.75" customHeight="1" x14ac:dyDescent="0.3">
      <c r="A56" s="10" t="s">
        <v>54</v>
      </c>
      <c r="B56" s="10"/>
      <c r="C56" s="11">
        <f>SUM(C48:C55)+IF(ISNUMBER(C57),C57,0)</f>
        <v>1415.75</v>
      </c>
      <c r="D56" s="11">
        <f>SUM(D48:D55)+IF(ISNUMBER(D57),D57,0)</f>
        <v>996.09999999999991</v>
      </c>
      <c r="E56" s="11">
        <f>SUM(E48:E55)+IF(ISNUMBER(E57),E57,0)</f>
        <v>895.76</v>
      </c>
      <c r="F56" s="11">
        <f>SUM(F48:F55)+IF(ISNUMBER(F57),F57,0)</f>
        <v>1139.28</v>
      </c>
    </row>
    <row r="57" spans="1:6" ht="15" customHeight="1" x14ac:dyDescent="0.3">
      <c r="A57" s="6" t="s">
        <v>55</v>
      </c>
      <c r="B57" s="6"/>
      <c r="C57" s="13"/>
      <c r="D57" s="7">
        <v>0</v>
      </c>
      <c r="E57" s="7">
        <v>0.51</v>
      </c>
      <c r="F57" s="13"/>
    </row>
    <row r="58" spans="1:6" ht="15.75" customHeight="1" x14ac:dyDescent="0.3">
      <c r="A58" s="10" t="s">
        <v>56</v>
      </c>
      <c r="B58" s="10"/>
      <c r="C58" s="11">
        <f>C45+C56</f>
        <v>1627.75</v>
      </c>
      <c r="D58" s="11">
        <f>D45+D56</f>
        <v>1224.6599999999999</v>
      </c>
      <c r="E58" s="11">
        <f>E45+E56</f>
        <v>1071.03</v>
      </c>
      <c r="F58" s="11">
        <f>F45+F56</f>
        <v>1291.03</v>
      </c>
    </row>
    <row r="59" spans="1:6" ht="15.75" customHeight="1" x14ac:dyDescent="0.3">
      <c r="A59" s="10" t="s">
        <v>57</v>
      </c>
      <c r="B59" s="10"/>
      <c r="C59" s="11">
        <f>C36+C58</f>
        <v>6154.84</v>
      </c>
      <c r="D59" s="11">
        <f>D36+D58</f>
        <v>5014.95</v>
      </c>
      <c r="E59" s="11">
        <f>E36+E58</f>
        <v>4638.3900000000003</v>
      </c>
      <c r="F59" s="11">
        <f>F36+F58</f>
        <v>4679.0199999999995</v>
      </c>
    </row>
    <row r="60" spans="1:6" ht="15" customHeight="1" x14ac:dyDescent="0.3">
      <c r="A60" s="12"/>
      <c r="B60" s="12"/>
      <c r="C60" s="12"/>
      <c r="D60" s="12"/>
      <c r="E60" s="12"/>
      <c r="F60" s="12"/>
    </row>
    <row r="61" spans="1:6" ht="15.75" customHeight="1" x14ac:dyDescent="0.3">
      <c r="A61" s="10" t="s">
        <v>58</v>
      </c>
      <c r="B61" s="10"/>
      <c r="C61" s="11">
        <f>C30-C59</f>
        <v>0</v>
      </c>
      <c r="D61" s="11">
        <f>D30-D59</f>
        <v>0</v>
      </c>
      <c r="E61" s="11">
        <f>E30-E59</f>
        <v>0</v>
      </c>
      <c r="F61" s="11">
        <f>F30-F59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44" customWidth="1"/>
    <col min="2" max="6" width="7" customWidth="1"/>
  </cols>
  <sheetData>
    <row r="1" spans="1:6" ht="15.75" customHeight="1" x14ac:dyDescent="0.35">
      <c r="A1" s="1" t="s">
        <v>59</v>
      </c>
    </row>
    <row r="2" spans="1:6" ht="15" customHeight="1" x14ac:dyDescent="0.3">
      <c r="A2" s="2" t="s">
        <v>60</v>
      </c>
    </row>
    <row r="4" spans="1:6" ht="21.75" customHeight="1" x14ac:dyDescent="0.3">
      <c r="A4" s="3" t="s">
        <v>2</v>
      </c>
      <c r="B4" s="3" t="s">
        <v>3</v>
      </c>
      <c r="C4" s="3" t="s">
        <v>61</v>
      </c>
      <c r="D4" s="3" t="s">
        <v>62</v>
      </c>
      <c r="E4" s="3" t="s">
        <v>63</v>
      </c>
      <c r="F4" s="3" t="s">
        <v>64</v>
      </c>
    </row>
    <row r="5" spans="1:6" ht="15" customHeight="1" x14ac:dyDescent="0.3">
      <c r="A5" s="4" t="s">
        <v>65</v>
      </c>
      <c r="B5" s="4"/>
      <c r="C5" s="5"/>
      <c r="D5" s="5"/>
      <c r="E5" s="5"/>
      <c r="F5" s="5"/>
    </row>
    <row r="6" spans="1:6" ht="15" customHeight="1" x14ac:dyDescent="0.3">
      <c r="A6" s="6" t="s">
        <v>66</v>
      </c>
      <c r="B6" s="6">
        <v>37</v>
      </c>
      <c r="C6" s="7">
        <v>5452.86</v>
      </c>
      <c r="D6" s="7">
        <v>4648.1000000000004</v>
      </c>
      <c r="E6" s="7">
        <v>4208.71</v>
      </c>
      <c r="F6" s="7">
        <v>3742.64</v>
      </c>
    </row>
    <row r="7" spans="1:6" ht="15" customHeight="1" x14ac:dyDescent="0.3">
      <c r="A7" s="8" t="s">
        <v>67</v>
      </c>
      <c r="B7" s="8">
        <v>38</v>
      </c>
      <c r="C7" s="9">
        <v>172.07</v>
      </c>
      <c r="D7" s="9">
        <v>94.5</v>
      </c>
      <c r="E7" s="9">
        <v>84.6</v>
      </c>
      <c r="F7" s="9">
        <v>98.64</v>
      </c>
    </row>
    <row r="8" spans="1:6" ht="15.75" customHeight="1" x14ac:dyDescent="0.3">
      <c r="A8" s="10" t="s">
        <v>68</v>
      </c>
      <c r="B8" s="10"/>
      <c r="C8" s="11">
        <f>C6+C7</f>
        <v>5624.9299999999994</v>
      </c>
      <c r="D8" s="11">
        <f>D6+D7</f>
        <v>4742.6000000000004</v>
      </c>
      <c r="E8" s="11">
        <f>E6+E7</f>
        <v>4293.3100000000004</v>
      </c>
      <c r="F8" s="11">
        <f>F6+F7</f>
        <v>3841.2799999999997</v>
      </c>
    </row>
    <row r="9" spans="1:6" ht="15" customHeight="1" x14ac:dyDescent="0.3">
      <c r="A9" s="12"/>
      <c r="B9" s="12"/>
      <c r="C9" s="12"/>
      <c r="D9" s="12"/>
      <c r="E9" s="12"/>
      <c r="F9" s="12"/>
    </row>
    <row r="10" spans="1:6" ht="15" customHeight="1" x14ac:dyDescent="0.3">
      <c r="A10" s="4" t="s">
        <v>69</v>
      </c>
      <c r="B10" s="4"/>
      <c r="C10" s="5"/>
      <c r="D10" s="5"/>
      <c r="E10" s="5"/>
      <c r="F10" s="5"/>
    </row>
    <row r="11" spans="1:6" ht="15" customHeight="1" x14ac:dyDescent="0.3">
      <c r="A11" s="6" t="s">
        <v>70</v>
      </c>
      <c r="B11" s="6">
        <v>39</v>
      </c>
      <c r="C11" s="7">
        <v>916.51</v>
      </c>
      <c r="D11" s="7">
        <v>846.6</v>
      </c>
      <c r="E11" s="7">
        <v>939.43</v>
      </c>
      <c r="F11" s="7">
        <v>878.36</v>
      </c>
    </row>
    <row r="12" spans="1:6" ht="15" customHeight="1" x14ac:dyDescent="0.3">
      <c r="A12" s="8" t="s">
        <v>71</v>
      </c>
      <c r="B12" s="8">
        <v>40</v>
      </c>
      <c r="C12" s="9">
        <v>229.79</v>
      </c>
      <c r="D12" s="9">
        <v>249.8</v>
      </c>
      <c r="E12" s="9">
        <v>166.35</v>
      </c>
      <c r="F12" s="9">
        <v>146.28</v>
      </c>
    </row>
    <row r="13" spans="1:6" ht="15" customHeight="1" x14ac:dyDescent="0.3">
      <c r="A13" s="6" t="s">
        <v>72</v>
      </c>
      <c r="B13" s="6">
        <v>41</v>
      </c>
      <c r="C13" s="7">
        <v>37.46</v>
      </c>
      <c r="D13" s="7">
        <v>-25.64</v>
      </c>
      <c r="E13" s="7">
        <v>-39.21</v>
      </c>
      <c r="F13" s="7">
        <v>25.76</v>
      </c>
    </row>
    <row r="14" spans="1:6" ht="15" customHeight="1" x14ac:dyDescent="0.3">
      <c r="A14" s="8" t="s">
        <v>73</v>
      </c>
      <c r="B14" s="8">
        <v>42</v>
      </c>
      <c r="C14" s="9">
        <v>1291.1500000000001</v>
      </c>
      <c r="D14" s="9">
        <v>1089.69</v>
      </c>
      <c r="E14" s="9">
        <v>900.34</v>
      </c>
      <c r="F14" s="9">
        <v>785.14</v>
      </c>
    </row>
    <row r="15" spans="1:6" ht="15" customHeight="1" x14ac:dyDescent="0.3">
      <c r="A15" s="6" t="s">
        <v>74</v>
      </c>
      <c r="B15" s="6">
        <v>43</v>
      </c>
      <c r="C15" s="7">
        <v>16.11</v>
      </c>
      <c r="D15" s="7">
        <v>20.73</v>
      </c>
      <c r="E15" s="7">
        <v>7.21</v>
      </c>
      <c r="F15" s="7">
        <v>5.84</v>
      </c>
    </row>
    <row r="16" spans="1:6" ht="15" customHeight="1" x14ac:dyDescent="0.3">
      <c r="A16" s="8" t="s">
        <v>75</v>
      </c>
      <c r="B16" s="8">
        <v>44</v>
      </c>
      <c r="C16" s="9">
        <v>173.14</v>
      </c>
      <c r="D16" s="9">
        <v>144.11000000000001</v>
      </c>
      <c r="E16" s="9">
        <v>135.4</v>
      </c>
      <c r="F16" s="9">
        <v>130.80000000000001</v>
      </c>
    </row>
    <row r="17" spans="1:6" ht="15" customHeight="1" x14ac:dyDescent="0.3">
      <c r="A17" s="6" t="s">
        <v>76</v>
      </c>
      <c r="B17" s="6">
        <v>45</v>
      </c>
      <c r="C17" s="7">
        <v>1583.12</v>
      </c>
      <c r="D17" s="7">
        <v>1228.1500000000001</v>
      </c>
      <c r="E17" s="7">
        <v>1069.8599999999999</v>
      </c>
      <c r="F17" s="7">
        <v>1123.8499999999999</v>
      </c>
    </row>
    <row r="18" spans="1:6" ht="15.75" customHeight="1" x14ac:dyDescent="0.3">
      <c r="A18" s="10" t="s">
        <v>77</v>
      </c>
      <c r="B18" s="10"/>
      <c r="C18" s="11">
        <f>SUM(C11:C17)</f>
        <v>4247.28</v>
      </c>
      <c r="D18" s="11">
        <f>SUM(D11:D17)</f>
        <v>3553.44</v>
      </c>
      <c r="E18" s="11">
        <f>SUM(E11:E17)</f>
        <v>3179.38</v>
      </c>
      <c r="F18" s="11">
        <f>SUM(F11:F17)</f>
        <v>3096.0299999999997</v>
      </c>
    </row>
    <row r="19" spans="1:6" ht="15" customHeight="1" x14ac:dyDescent="0.3">
      <c r="A19" s="12"/>
      <c r="B19" s="12"/>
      <c r="C19" s="12"/>
      <c r="D19" s="12"/>
      <c r="E19" s="12"/>
      <c r="F19" s="12"/>
    </row>
    <row r="20" spans="1:6" ht="15.75" customHeight="1" x14ac:dyDescent="0.3">
      <c r="A20" s="10" t="s">
        <v>78</v>
      </c>
      <c r="B20" s="10"/>
      <c r="C20" s="11">
        <f>C8-C18</f>
        <v>1377.6499999999996</v>
      </c>
      <c r="D20" s="11">
        <f>D8-D18</f>
        <v>1189.1600000000003</v>
      </c>
      <c r="E20" s="11">
        <f>E8-E18</f>
        <v>1113.9300000000003</v>
      </c>
      <c r="F20" s="11">
        <f>F8-F18</f>
        <v>745.25</v>
      </c>
    </row>
    <row r="21" spans="1:6" ht="15" customHeight="1" x14ac:dyDescent="0.3">
      <c r="A21" s="4" t="s">
        <v>79</v>
      </c>
      <c r="B21" s="4">
        <v>64</v>
      </c>
      <c r="C21" s="5"/>
      <c r="D21" s="5"/>
      <c r="E21" s="5"/>
      <c r="F21" s="5"/>
    </row>
    <row r="22" spans="1:6" ht="15" customHeight="1" x14ac:dyDescent="0.3">
      <c r="A22" s="8" t="s">
        <v>80</v>
      </c>
      <c r="B22" s="8"/>
      <c r="C22" s="9">
        <v>300.17</v>
      </c>
      <c r="D22" s="9">
        <v>337.28</v>
      </c>
      <c r="E22" s="9">
        <v>298.22000000000003</v>
      </c>
      <c r="F22" s="9">
        <v>175.58</v>
      </c>
    </row>
    <row r="23" spans="1:6" ht="15" customHeight="1" x14ac:dyDescent="0.3">
      <c r="A23" s="6" t="s">
        <v>81</v>
      </c>
      <c r="B23" s="6"/>
      <c r="C23" s="7">
        <v>-0.09</v>
      </c>
      <c r="D23" s="7">
        <v>-24.98</v>
      </c>
      <c r="E23" s="7">
        <v>23.84</v>
      </c>
      <c r="F23" s="7">
        <v>21.66</v>
      </c>
    </row>
    <row r="24" spans="1:6" ht="15" customHeight="1" x14ac:dyDescent="0.3">
      <c r="A24" s="8" t="s">
        <v>82</v>
      </c>
      <c r="B24" s="8"/>
      <c r="C24" s="9">
        <v>21.57</v>
      </c>
      <c r="D24" s="9">
        <v>-43.53</v>
      </c>
      <c r="E24" s="9">
        <v>-24.3</v>
      </c>
      <c r="F24" s="9">
        <v>-39.97</v>
      </c>
    </row>
    <row r="25" spans="1:6" ht="15.75" customHeight="1" x14ac:dyDescent="0.3">
      <c r="A25" s="10" t="s">
        <v>83</v>
      </c>
      <c r="B25" s="10"/>
      <c r="C25" s="11">
        <f>SUM(C22:C24)</f>
        <v>321.65000000000003</v>
      </c>
      <c r="D25" s="11">
        <f>SUM(D22:D24)</f>
        <v>268.77</v>
      </c>
      <c r="E25" s="11">
        <f>SUM(E22:E24)</f>
        <v>297.76</v>
      </c>
      <c r="F25" s="11">
        <f>SUM(F22:F24)</f>
        <v>157.27000000000001</v>
      </c>
    </row>
    <row r="26" spans="1:6" ht="15.75" customHeight="1" x14ac:dyDescent="0.3">
      <c r="A26" s="10" t="s">
        <v>84</v>
      </c>
      <c r="B26" s="10"/>
      <c r="C26" s="11">
        <f>C20-C25</f>
        <v>1055.9999999999995</v>
      </c>
      <c r="D26" s="11">
        <f>D20-D25</f>
        <v>920.39000000000033</v>
      </c>
      <c r="E26" s="11">
        <f>E20-E25</f>
        <v>816.1700000000003</v>
      </c>
      <c r="F26" s="11">
        <f>F20-F25</f>
        <v>587.98</v>
      </c>
    </row>
    <row r="27" spans="1:6" ht="15" customHeight="1" x14ac:dyDescent="0.3">
      <c r="A27" s="12"/>
      <c r="B27" s="12"/>
      <c r="C27" s="12"/>
      <c r="D27" s="12"/>
      <c r="E27" s="12"/>
      <c r="F27" s="12"/>
    </row>
    <row r="28" spans="1:6" ht="15" customHeight="1" x14ac:dyDescent="0.3">
      <c r="A28" s="4" t="s">
        <v>85</v>
      </c>
      <c r="B28" s="4"/>
      <c r="C28" s="5"/>
      <c r="D28" s="5"/>
      <c r="E28" s="5"/>
      <c r="F28" s="5"/>
    </row>
    <row r="29" spans="1:6" ht="15" customHeight="1" x14ac:dyDescent="0.3">
      <c r="A29" s="6" t="s">
        <v>86</v>
      </c>
      <c r="B29" s="6"/>
      <c r="C29" s="7">
        <v>-0.48</v>
      </c>
      <c r="D29" s="7">
        <v>-8.9600000000000009</v>
      </c>
      <c r="E29" s="7">
        <v>-3.88</v>
      </c>
      <c r="F29" s="7">
        <v>-3.49</v>
      </c>
    </row>
    <row r="30" spans="1:6" ht="15" customHeight="1" x14ac:dyDescent="0.3">
      <c r="A30" s="8" t="s">
        <v>87</v>
      </c>
      <c r="B30" s="8"/>
      <c r="C30" s="9">
        <v>0.17</v>
      </c>
      <c r="D30" s="9">
        <v>3.13</v>
      </c>
      <c r="E30" s="9">
        <v>1.36</v>
      </c>
      <c r="F30" s="9">
        <v>1.22</v>
      </c>
    </row>
    <row r="31" spans="1:6" ht="15" customHeight="1" x14ac:dyDescent="0.3">
      <c r="A31" s="6" t="s">
        <v>88</v>
      </c>
      <c r="B31" s="6"/>
      <c r="C31" s="13">
        <f>C29+C30</f>
        <v>-0.30999999999999994</v>
      </c>
      <c r="D31" s="13">
        <f>D29+D30</f>
        <v>-5.830000000000001</v>
      </c>
      <c r="E31" s="13">
        <f>E29+E30</f>
        <v>-2.5199999999999996</v>
      </c>
      <c r="F31" s="13">
        <f>F29+F30</f>
        <v>-2.2700000000000005</v>
      </c>
    </row>
    <row r="32" spans="1:6" ht="15" customHeight="1" x14ac:dyDescent="0.3">
      <c r="A32" s="8" t="s">
        <v>89</v>
      </c>
      <c r="B32" s="8"/>
      <c r="C32" s="9">
        <v>29.39</v>
      </c>
      <c r="D32" s="9">
        <v>7.68</v>
      </c>
      <c r="E32" s="9">
        <v>3.33</v>
      </c>
      <c r="F32" s="9">
        <v>17.12</v>
      </c>
    </row>
    <row r="33" spans="1:6" ht="15" customHeight="1" x14ac:dyDescent="0.3">
      <c r="A33" s="6" t="s">
        <v>87</v>
      </c>
      <c r="B33" s="6"/>
      <c r="C33" s="7">
        <v>0</v>
      </c>
      <c r="D33" s="7">
        <v>0</v>
      </c>
      <c r="E33" s="7">
        <v>0</v>
      </c>
      <c r="F33" s="7">
        <v>0</v>
      </c>
    </row>
    <row r="34" spans="1:6" ht="15" customHeight="1" x14ac:dyDescent="0.3">
      <c r="A34" s="8" t="s">
        <v>90</v>
      </c>
      <c r="B34" s="8"/>
      <c r="C34" s="14">
        <f>C32+C33</f>
        <v>29.39</v>
      </c>
      <c r="D34" s="14">
        <f>D32+D33</f>
        <v>7.68</v>
      </c>
      <c r="E34" s="14">
        <f>E32+E33</f>
        <v>3.33</v>
      </c>
      <c r="F34" s="14">
        <f>F32+F33</f>
        <v>17.12</v>
      </c>
    </row>
    <row r="35" spans="1:6" ht="15.75" customHeight="1" x14ac:dyDescent="0.3">
      <c r="A35" s="10" t="s">
        <v>91</v>
      </c>
      <c r="B35" s="10"/>
      <c r="C35" s="11">
        <f>C31+C34</f>
        <v>29.080000000000002</v>
      </c>
      <c r="D35" s="11">
        <f>D31+D34</f>
        <v>1.8499999999999988</v>
      </c>
      <c r="E35" s="11">
        <f>E31+E34</f>
        <v>0.8100000000000005</v>
      </c>
      <c r="F35" s="11">
        <f>F31+F34</f>
        <v>14.850000000000001</v>
      </c>
    </row>
    <row r="36" spans="1:6" ht="15.75" customHeight="1" x14ac:dyDescent="0.3">
      <c r="A36" s="10" t="s">
        <v>92</v>
      </c>
      <c r="B36" s="10"/>
      <c r="C36" s="11">
        <f>C26+C35</f>
        <v>1085.0799999999995</v>
      </c>
      <c r="D36" s="11">
        <f>D26+D35</f>
        <v>922.24000000000035</v>
      </c>
      <c r="E36" s="11">
        <f>E26+E35</f>
        <v>816.98000000000025</v>
      </c>
      <c r="F36" s="11">
        <f>F26+F35</f>
        <v>602.83000000000004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6640625" defaultRowHeight="14.4" x14ac:dyDescent="0.3"/>
  <cols>
    <col min="1" max="1" width="55" customWidth="1"/>
    <col min="2" max="5" width="13" customWidth="1"/>
  </cols>
  <sheetData>
    <row r="1" spans="1:5" ht="15.75" customHeight="1" x14ac:dyDescent="0.35">
      <c r="A1" s="1" t="s">
        <v>93</v>
      </c>
    </row>
    <row r="2" spans="1:5" ht="15" customHeight="1" x14ac:dyDescent="0.3">
      <c r="A2" s="2" t="s">
        <v>94</v>
      </c>
    </row>
    <row r="4" spans="1:5" ht="21.75" customHeight="1" x14ac:dyDescent="0.3">
      <c r="A4" s="3" t="s">
        <v>2</v>
      </c>
      <c r="B4" s="3" t="s">
        <v>61</v>
      </c>
      <c r="C4" s="3" t="s">
        <v>62</v>
      </c>
      <c r="D4" s="3" t="s">
        <v>63</v>
      </c>
      <c r="E4" s="3" t="s">
        <v>64</v>
      </c>
    </row>
    <row r="5" spans="1:5" ht="15" customHeight="1" x14ac:dyDescent="0.3">
      <c r="A5" s="4" t="s">
        <v>95</v>
      </c>
      <c r="B5" s="5"/>
      <c r="C5" s="5"/>
      <c r="D5" s="5"/>
      <c r="E5" s="5"/>
    </row>
    <row r="6" spans="1:5" ht="15.75" customHeight="1" x14ac:dyDescent="0.3">
      <c r="A6" s="10" t="s">
        <v>78</v>
      </c>
      <c r="B6" s="15">
        <v>1377.65</v>
      </c>
      <c r="C6" s="15">
        <v>1189.1600000000001</v>
      </c>
      <c r="D6" s="15">
        <v>1113.93</v>
      </c>
      <c r="E6" s="15">
        <v>745.25</v>
      </c>
    </row>
    <row r="7" spans="1:5" ht="15" customHeight="1" x14ac:dyDescent="0.3">
      <c r="A7" s="6" t="s">
        <v>96</v>
      </c>
      <c r="B7" s="7">
        <v>173.14</v>
      </c>
      <c r="C7" s="7">
        <v>144.11000000000001</v>
      </c>
      <c r="D7" s="7">
        <v>135.4</v>
      </c>
      <c r="E7" s="7">
        <v>130.80000000000001</v>
      </c>
    </row>
    <row r="8" spans="1:5" ht="15" customHeight="1" x14ac:dyDescent="0.3">
      <c r="A8" s="8" t="s">
        <v>97</v>
      </c>
      <c r="B8" s="9">
        <v>16.11</v>
      </c>
      <c r="C8" s="9">
        <v>20.73</v>
      </c>
      <c r="D8" s="9">
        <v>7.21</v>
      </c>
      <c r="E8" s="9">
        <v>5.84</v>
      </c>
    </row>
    <row r="9" spans="1:5" ht="15" customHeight="1" x14ac:dyDescent="0.3">
      <c r="A9" s="6" t="s">
        <v>98</v>
      </c>
      <c r="B9" s="7">
        <v>-25.79</v>
      </c>
      <c r="C9" s="7">
        <v>-52.73</v>
      </c>
      <c r="D9" s="7">
        <v>-59.58</v>
      </c>
      <c r="E9" s="7">
        <v>-5.34</v>
      </c>
    </row>
    <row r="10" spans="1:5" ht="15.75" customHeight="1" x14ac:dyDescent="0.3">
      <c r="A10" s="10" t="s">
        <v>99</v>
      </c>
      <c r="B10" s="11">
        <f>SUM(B6:B9)</f>
        <v>1541.11</v>
      </c>
      <c r="C10" s="11">
        <f>SUM(C6:C9)</f>
        <v>1301.27</v>
      </c>
      <c r="D10" s="11">
        <f>SUM(D6:D9)</f>
        <v>1196.9600000000003</v>
      </c>
      <c r="E10" s="11">
        <f>SUM(E6:E9)</f>
        <v>876.55</v>
      </c>
    </row>
    <row r="11" spans="1:5" ht="15" customHeight="1" x14ac:dyDescent="0.3">
      <c r="A11" s="8" t="s">
        <v>100</v>
      </c>
      <c r="B11" s="9">
        <v>-590.84</v>
      </c>
      <c r="C11" s="9">
        <v>80.48</v>
      </c>
      <c r="D11" s="9">
        <v>-178.88</v>
      </c>
      <c r="E11" s="9">
        <v>-10.55</v>
      </c>
    </row>
    <row r="12" spans="1:5" ht="15" customHeight="1" x14ac:dyDescent="0.3">
      <c r="A12" s="6" t="s">
        <v>101</v>
      </c>
      <c r="B12" s="7">
        <v>-158.82</v>
      </c>
      <c r="C12" s="7">
        <v>25.29</v>
      </c>
      <c r="D12" s="7">
        <v>-39.39</v>
      </c>
      <c r="E12" s="7">
        <v>29.47</v>
      </c>
    </row>
    <row r="13" spans="1:5" ht="15" customHeight="1" x14ac:dyDescent="0.3">
      <c r="A13" s="8" t="s">
        <v>102</v>
      </c>
      <c r="B13" s="9">
        <v>-30.95</v>
      </c>
      <c r="C13" s="9">
        <v>-74.510000000000005</v>
      </c>
      <c r="D13" s="9">
        <v>-12.3</v>
      </c>
      <c r="E13" s="9">
        <v>-22.37</v>
      </c>
    </row>
    <row r="14" spans="1:5" ht="15" customHeight="1" x14ac:dyDescent="0.3">
      <c r="A14" s="6" t="s">
        <v>103</v>
      </c>
      <c r="B14" s="7">
        <v>90.79</v>
      </c>
      <c r="C14" s="7">
        <v>-8.4499999999999993</v>
      </c>
      <c r="D14" s="7">
        <v>40.85</v>
      </c>
      <c r="E14" s="7">
        <v>96.91</v>
      </c>
    </row>
    <row r="15" spans="1:5" ht="15" customHeight="1" x14ac:dyDescent="0.3">
      <c r="A15" s="8" t="s">
        <v>104</v>
      </c>
      <c r="B15" s="9">
        <v>59.28</v>
      </c>
      <c r="C15" s="9">
        <v>115.64</v>
      </c>
      <c r="D15" s="9">
        <v>73.349999999999994</v>
      </c>
      <c r="E15" s="9">
        <v>-32.39</v>
      </c>
    </row>
    <row r="16" spans="1:5" ht="15" customHeight="1" x14ac:dyDescent="0.3">
      <c r="A16" s="6" t="s">
        <v>105</v>
      </c>
      <c r="B16" s="7">
        <v>-22.39</v>
      </c>
      <c r="C16" s="7">
        <v>40.479999999999997</v>
      </c>
      <c r="D16" s="7">
        <v>16.61</v>
      </c>
      <c r="E16" s="7">
        <v>5.77</v>
      </c>
    </row>
    <row r="17" spans="1:5" ht="15.75" customHeight="1" x14ac:dyDescent="0.3">
      <c r="A17" s="10" t="s">
        <v>106</v>
      </c>
      <c r="B17" s="11">
        <f>B10+SUM(B11:B16)</f>
        <v>888.17999999999972</v>
      </c>
      <c r="C17" s="11">
        <f>C10+SUM(C11:C16)</f>
        <v>1480.2</v>
      </c>
      <c r="D17" s="11">
        <f>D10+SUM(D11:D16)</f>
        <v>1097.2000000000003</v>
      </c>
      <c r="E17" s="11">
        <f>E10+SUM(E11:E16)</f>
        <v>943.39</v>
      </c>
    </row>
    <row r="18" spans="1:5" ht="15" customHeight="1" x14ac:dyDescent="0.3">
      <c r="A18" s="8" t="s">
        <v>107</v>
      </c>
      <c r="B18" s="9">
        <v>-358.99</v>
      </c>
      <c r="C18" s="9">
        <v>-322.97000000000003</v>
      </c>
      <c r="D18" s="9">
        <v>-312.13</v>
      </c>
      <c r="E18" s="9">
        <v>-151.29</v>
      </c>
    </row>
    <row r="19" spans="1:5" ht="15.75" customHeight="1" x14ac:dyDescent="0.3">
      <c r="A19" s="10" t="s">
        <v>108</v>
      </c>
      <c r="B19" s="11">
        <f>B17+B18</f>
        <v>529.18999999999971</v>
      </c>
      <c r="C19" s="11">
        <f>C17+C18</f>
        <v>1157.23</v>
      </c>
      <c r="D19" s="11">
        <f>D17+D18</f>
        <v>785.07000000000028</v>
      </c>
      <c r="E19" s="11">
        <f>E17+E18</f>
        <v>792.1</v>
      </c>
    </row>
    <row r="20" spans="1:5" ht="15" customHeight="1" x14ac:dyDescent="0.3">
      <c r="A20" s="12"/>
      <c r="B20" s="12"/>
      <c r="C20" s="12"/>
      <c r="D20" s="12"/>
      <c r="E20" s="12"/>
    </row>
    <row r="21" spans="1:5" ht="15" customHeight="1" x14ac:dyDescent="0.3">
      <c r="A21" s="4" t="s">
        <v>109</v>
      </c>
      <c r="B21" s="5"/>
      <c r="C21" s="5"/>
      <c r="D21" s="5"/>
      <c r="E21" s="5"/>
    </row>
    <row r="22" spans="1:5" ht="15" customHeight="1" x14ac:dyDescent="0.3">
      <c r="A22" s="6" t="s">
        <v>110</v>
      </c>
      <c r="B22" s="7">
        <v>-365.16</v>
      </c>
      <c r="C22" s="7">
        <v>-317.92</v>
      </c>
      <c r="D22" s="7">
        <v>-152.41</v>
      </c>
      <c r="E22" s="7">
        <v>-174.49</v>
      </c>
    </row>
    <row r="23" spans="1:5" ht="15" customHeight="1" x14ac:dyDescent="0.3">
      <c r="A23" s="8" t="s">
        <v>111</v>
      </c>
      <c r="B23" s="9">
        <v>5.41</v>
      </c>
      <c r="C23" s="9">
        <v>1.1399999999999999</v>
      </c>
      <c r="D23" s="9">
        <v>13.38</v>
      </c>
      <c r="E23" s="9">
        <v>0.73</v>
      </c>
    </row>
    <row r="24" spans="1:5" ht="15" customHeight="1" x14ac:dyDescent="0.3">
      <c r="A24" s="6" t="s">
        <v>112</v>
      </c>
      <c r="B24" s="7">
        <v>-0.39</v>
      </c>
      <c r="C24" s="7">
        <v>0.16</v>
      </c>
      <c r="D24" s="7">
        <v>-0.21</v>
      </c>
      <c r="E24" s="7">
        <v>4.3499999999999996</v>
      </c>
    </row>
    <row r="25" spans="1:5" ht="15" customHeight="1" x14ac:dyDescent="0.3">
      <c r="A25" s="8" t="s">
        <v>113</v>
      </c>
      <c r="B25" s="9">
        <v>-2659.98</v>
      </c>
      <c r="C25" s="9">
        <v>-2761.21</v>
      </c>
      <c r="D25" s="9">
        <v>-2079.7600000000002</v>
      </c>
      <c r="E25" s="9">
        <v>-1666.86</v>
      </c>
    </row>
    <row r="26" spans="1:5" ht="15" customHeight="1" x14ac:dyDescent="0.3">
      <c r="A26" s="6" t="s">
        <v>114</v>
      </c>
      <c r="B26" s="7">
        <v>2549.09</v>
      </c>
      <c r="C26" s="7">
        <v>2663.48</v>
      </c>
      <c r="D26" s="7">
        <v>2257.39</v>
      </c>
      <c r="E26" s="7">
        <v>1276.1500000000001</v>
      </c>
    </row>
    <row r="27" spans="1:5" ht="15" customHeight="1" x14ac:dyDescent="0.3">
      <c r="A27" s="8" t="s">
        <v>115</v>
      </c>
      <c r="B27" s="9">
        <v>45.37</v>
      </c>
      <c r="C27" s="9">
        <v>44.08</v>
      </c>
      <c r="D27" s="9">
        <v>27</v>
      </c>
      <c r="E27" s="9">
        <v>0.52</v>
      </c>
    </row>
    <row r="28" spans="1:5" ht="15" customHeight="1" x14ac:dyDescent="0.3">
      <c r="A28" s="6" t="s">
        <v>116</v>
      </c>
      <c r="B28" s="7">
        <v>-3.26</v>
      </c>
      <c r="C28" s="7">
        <v>-6.25</v>
      </c>
      <c r="D28" s="7">
        <v>0</v>
      </c>
      <c r="E28" s="7">
        <v>0</v>
      </c>
    </row>
    <row r="29" spans="1:5" ht="15.75" customHeight="1" x14ac:dyDescent="0.3">
      <c r="A29" s="10" t="s">
        <v>117</v>
      </c>
      <c r="B29" s="11">
        <f>SUM(B22:B28)</f>
        <v>-428.91999999999973</v>
      </c>
      <c r="C29" s="11">
        <f>SUM(C22:C28)</f>
        <v>-376.51999999999992</v>
      </c>
      <c r="D29" s="11">
        <f>SUM(D22:D28)</f>
        <v>65.389999999999873</v>
      </c>
      <c r="E29" s="11">
        <f>SUM(E22:E28)</f>
        <v>-559.59999999999991</v>
      </c>
    </row>
    <row r="30" spans="1:5" ht="15" customHeight="1" x14ac:dyDescent="0.3">
      <c r="A30" s="12"/>
      <c r="B30" s="12"/>
      <c r="C30" s="12"/>
      <c r="D30" s="12"/>
      <c r="E30" s="12"/>
    </row>
    <row r="31" spans="1:5" ht="15" customHeight="1" x14ac:dyDescent="0.3">
      <c r="A31" s="4" t="s">
        <v>118</v>
      </c>
      <c r="B31" s="5"/>
      <c r="C31" s="5"/>
      <c r="D31" s="5"/>
      <c r="E31" s="5"/>
    </row>
    <row r="32" spans="1:5" ht="15" customHeight="1" x14ac:dyDescent="0.3">
      <c r="A32" s="8" t="s">
        <v>119</v>
      </c>
      <c r="B32" s="9">
        <v>0</v>
      </c>
      <c r="C32" s="9">
        <v>0.01</v>
      </c>
      <c r="D32" s="9">
        <v>0</v>
      </c>
      <c r="E32" s="9">
        <v>0</v>
      </c>
    </row>
    <row r="33" spans="1:5" ht="15" customHeight="1" x14ac:dyDescent="0.3">
      <c r="A33" s="6" t="s">
        <v>120</v>
      </c>
      <c r="B33" s="7">
        <v>209.4</v>
      </c>
      <c r="C33" s="7">
        <v>1.1000000000000001</v>
      </c>
      <c r="D33" s="7">
        <v>0.06</v>
      </c>
      <c r="E33" s="7">
        <v>-0.49</v>
      </c>
    </row>
    <row r="34" spans="1:5" ht="15" customHeight="1" x14ac:dyDescent="0.3">
      <c r="A34" s="8" t="s">
        <v>121</v>
      </c>
      <c r="B34" s="9">
        <v>-12.8</v>
      </c>
      <c r="C34" s="9">
        <v>-17.309999999999999</v>
      </c>
      <c r="D34" s="9">
        <v>-3.53</v>
      </c>
      <c r="E34" s="9">
        <v>-2.33</v>
      </c>
    </row>
    <row r="35" spans="1:5" ht="15" customHeight="1" x14ac:dyDescent="0.3">
      <c r="A35" s="6" t="s">
        <v>122</v>
      </c>
      <c r="B35" s="7">
        <v>-14.8</v>
      </c>
      <c r="C35" s="7">
        <v>-14.89</v>
      </c>
      <c r="D35" s="7">
        <v>-16.23</v>
      </c>
      <c r="E35" s="7">
        <v>-14.25</v>
      </c>
    </row>
    <row r="36" spans="1:5" ht="15" customHeight="1" x14ac:dyDescent="0.3">
      <c r="A36" s="8" t="s">
        <v>123</v>
      </c>
      <c r="B36" s="9">
        <v>0</v>
      </c>
      <c r="C36" s="9">
        <v>-352.95</v>
      </c>
      <c r="D36" s="9">
        <v>-389.19</v>
      </c>
      <c r="E36" s="9">
        <v>-1.44</v>
      </c>
    </row>
    <row r="37" spans="1:5" ht="15" customHeight="1" x14ac:dyDescent="0.3">
      <c r="A37" s="6" t="s">
        <v>124</v>
      </c>
      <c r="B37" s="7">
        <v>-349.72</v>
      </c>
      <c r="C37" s="7">
        <v>-349.37</v>
      </c>
      <c r="D37" s="7">
        <v>-642.16999999999996</v>
      </c>
      <c r="E37" s="7">
        <v>-89.69</v>
      </c>
    </row>
    <row r="38" spans="1:5" ht="15.75" customHeight="1" x14ac:dyDescent="0.3">
      <c r="A38" s="10" t="s">
        <v>125</v>
      </c>
      <c r="B38" s="11">
        <f>SUM(B32:B37)</f>
        <v>-167.92000000000004</v>
      </c>
      <c r="C38" s="11">
        <f>SUM(C32:C37)</f>
        <v>-733.41</v>
      </c>
      <c r="D38" s="11">
        <f>SUM(D32:D37)</f>
        <v>-1051.06</v>
      </c>
      <c r="E38" s="11">
        <f>SUM(E32:E37)</f>
        <v>-108.2</v>
      </c>
    </row>
    <row r="39" spans="1:5" ht="15" customHeight="1" x14ac:dyDescent="0.3">
      <c r="A39" s="12"/>
      <c r="B39" s="12"/>
      <c r="C39" s="12"/>
      <c r="D39" s="12"/>
      <c r="E39" s="12"/>
    </row>
    <row r="40" spans="1:5" ht="15.75" customHeight="1" x14ac:dyDescent="0.3">
      <c r="A40" s="10" t="s">
        <v>126</v>
      </c>
      <c r="B40" s="11">
        <f>B19+B29+B38</f>
        <v>-67.650000000000063</v>
      </c>
      <c r="C40" s="11">
        <f>C19+C29+C38</f>
        <v>47.300000000000068</v>
      </c>
      <c r="D40" s="11">
        <f>D19+D29+D38</f>
        <v>-200.5999999999998</v>
      </c>
      <c r="E40" s="11">
        <f>E19+E29+E38</f>
        <v>124.30000000000011</v>
      </c>
    </row>
    <row r="41" spans="1:5" ht="15" customHeight="1" x14ac:dyDescent="0.3">
      <c r="A41" s="8" t="s">
        <v>127</v>
      </c>
      <c r="B41" s="9">
        <v>175.12</v>
      </c>
      <c r="C41" s="9">
        <v>129.49</v>
      </c>
      <c r="D41" s="9">
        <v>329.83</v>
      </c>
      <c r="E41" s="9">
        <v>206.36</v>
      </c>
    </row>
    <row r="42" spans="1:5" ht="15.75" customHeight="1" x14ac:dyDescent="0.3">
      <c r="A42" s="10" t="s">
        <v>128</v>
      </c>
      <c r="B42" s="11">
        <f>B40+B41</f>
        <v>107.46999999999994</v>
      </c>
      <c r="C42" s="11">
        <f>C40+C41</f>
        <v>176.79000000000008</v>
      </c>
      <c r="D42" s="11">
        <f>D40+D41</f>
        <v>129.23000000000019</v>
      </c>
      <c r="E42" s="11">
        <f>E40+E41</f>
        <v>330.66000000000014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16" customWidth="1"/>
    <col min="3" max="3" width="48" customWidth="1"/>
  </cols>
  <sheetData>
    <row r="1" spans="1:2" ht="15.75" customHeight="1" x14ac:dyDescent="0.35">
      <c r="A1" s="1" t="s">
        <v>129</v>
      </c>
    </row>
    <row r="2" spans="1:2" ht="15" customHeight="1" x14ac:dyDescent="0.3">
      <c r="A2" s="2" t="s">
        <v>130</v>
      </c>
    </row>
    <row r="3" spans="1:2" ht="15" customHeight="1" x14ac:dyDescent="0.3">
      <c r="A3" s="12"/>
      <c r="B3" s="12"/>
    </row>
    <row r="4" spans="1:2" ht="15" customHeight="1" x14ac:dyDescent="0.3">
      <c r="A4" s="4" t="s">
        <v>131</v>
      </c>
      <c r="B4" s="5"/>
    </row>
    <row r="5" spans="1:2" ht="15" customHeight="1" x14ac:dyDescent="0.3">
      <c r="A5" s="12"/>
      <c r="B5" s="12"/>
    </row>
    <row r="6" spans="1:2" ht="15" customHeight="1" x14ac:dyDescent="0.3">
      <c r="A6" s="6" t="s">
        <v>132</v>
      </c>
      <c r="B6" s="16">
        <v>9</v>
      </c>
    </row>
    <row r="7" spans="1:2" ht="15.75" customHeight="1" x14ac:dyDescent="0.3">
      <c r="A7" s="10" t="s">
        <v>133</v>
      </c>
      <c r="B7" s="17">
        <v>9</v>
      </c>
    </row>
    <row r="8" spans="1:2" ht="15" customHeight="1" x14ac:dyDescent="0.3">
      <c r="A8" s="8" t="s">
        <v>134</v>
      </c>
      <c r="B8" s="9">
        <v>5</v>
      </c>
    </row>
    <row r="9" spans="1:2" ht="15" customHeight="1" x14ac:dyDescent="0.3">
      <c r="A9" s="6" t="s">
        <v>135</v>
      </c>
      <c r="B9" s="18">
        <v>0.02</v>
      </c>
    </row>
    <row r="10" spans="1:2" ht="15" customHeight="1" x14ac:dyDescent="0.3">
      <c r="A10" s="19"/>
      <c r="B10" s="19"/>
    </row>
    <row r="11" spans="1:2" ht="15" customHeight="1" x14ac:dyDescent="0.3">
      <c r="A11" s="12"/>
      <c r="B11" s="12"/>
    </row>
    <row r="12" spans="1:2" ht="15" customHeight="1" x14ac:dyDescent="0.3">
      <c r="A12" s="4" t="s">
        <v>136</v>
      </c>
      <c r="B12" s="5"/>
    </row>
    <row r="13" spans="1:2" ht="15" customHeight="1" x14ac:dyDescent="0.3">
      <c r="A13" s="12"/>
      <c r="B13" s="12"/>
    </row>
    <row r="14" spans="1:2" ht="15" customHeight="1" x14ac:dyDescent="0.3">
      <c r="A14" s="8" t="s">
        <v>137</v>
      </c>
      <c r="B14" s="20">
        <v>7</v>
      </c>
    </row>
    <row r="15" spans="1:2" ht="15" customHeight="1" x14ac:dyDescent="0.3">
      <c r="A15" s="6" t="s">
        <v>138</v>
      </c>
      <c r="B15" s="18">
        <v>0.1</v>
      </c>
    </row>
    <row r="16" spans="1:2" ht="15" customHeight="1" x14ac:dyDescent="0.3">
      <c r="A16" s="8" t="s">
        <v>139</v>
      </c>
      <c r="B16" s="21">
        <v>7.0000000000000007E-2</v>
      </c>
    </row>
    <row r="17" spans="1:2" ht="15" customHeight="1" x14ac:dyDescent="0.3">
      <c r="A17" s="6" t="s">
        <v>140</v>
      </c>
      <c r="B17" s="18">
        <v>1</v>
      </c>
    </row>
    <row r="18" spans="1:2" ht="15" customHeight="1" x14ac:dyDescent="0.3">
      <c r="A18" s="19"/>
      <c r="B18" s="19"/>
    </row>
    <row r="19" spans="1:2" ht="15" customHeight="1" x14ac:dyDescent="0.3">
      <c r="A19" s="12"/>
      <c r="B19" s="12"/>
    </row>
    <row r="20" spans="1:2" ht="15" customHeight="1" x14ac:dyDescent="0.3">
      <c r="A20" s="4" t="s">
        <v>141</v>
      </c>
      <c r="B20" s="5"/>
    </row>
    <row r="21" spans="1:2" ht="15" customHeight="1" x14ac:dyDescent="0.3">
      <c r="A21" s="12"/>
      <c r="B21" s="12"/>
    </row>
    <row r="22" spans="1:2" ht="15" customHeight="1" x14ac:dyDescent="0.3">
      <c r="A22" s="8" t="s">
        <v>142</v>
      </c>
      <c r="B22" s="22">
        <f>'Profit &amp; Loss'!C6</f>
        <v>5452.86</v>
      </c>
    </row>
    <row r="23" spans="1:2" ht="15" customHeight="1" x14ac:dyDescent="0.3">
      <c r="A23" s="6" t="s">
        <v>143</v>
      </c>
      <c r="B23" s="23">
        <f>'Profit &amp; Loss'!C20+'Profit &amp; Loss'!C15+'Profit &amp; Loss'!C16</f>
        <v>1566.8999999999996</v>
      </c>
    </row>
    <row r="24" spans="1:2" ht="15" customHeight="1" x14ac:dyDescent="0.3">
      <c r="A24" s="24" t="s">
        <v>144</v>
      </c>
      <c r="B24" s="19"/>
    </row>
    <row r="25" spans="1:2" ht="15" customHeight="1" x14ac:dyDescent="0.3">
      <c r="A25" s="8" t="s">
        <v>145</v>
      </c>
      <c r="B25" s="22">
        <f>'Balance Sheet'!C39+'Balance Sheet'!C48</f>
        <v>211.99</v>
      </c>
    </row>
    <row r="26" spans="1:2" ht="15" customHeight="1" x14ac:dyDescent="0.3">
      <c r="A26" s="6" t="s">
        <v>146</v>
      </c>
      <c r="B26" s="23">
        <f>'Balance Sheet'!C22</f>
        <v>103.26</v>
      </c>
    </row>
    <row r="27" spans="1:2" ht="15" customHeight="1" x14ac:dyDescent="0.3">
      <c r="A27" s="12"/>
      <c r="B27" s="12"/>
    </row>
    <row r="28" spans="1:2" ht="15" customHeight="1" x14ac:dyDescent="0.3">
      <c r="A28" s="4" t="s">
        <v>147</v>
      </c>
      <c r="B28" s="5"/>
    </row>
    <row r="29" spans="1:2" ht="15" customHeight="1" x14ac:dyDescent="0.3">
      <c r="A29" s="8" t="s">
        <v>148</v>
      </c>
      <c r="B29" s="14">
        <f>B23*B6</f>
        <v>14102.099999999997</v>
      </c>
    </row>
    <row r="30" spans="1:2" ht="15" customHeight="1" x14ac:dyDescent="0.3">
      <c r="A30" s="6" t="s">
        <v>149</v>
      </c>
      <c r="B30" s="13">
        <f>-(B25-B26)</f>
        <v>-108.73</v>
      </c>
    </row>
    <row r="31" spans="1:2" ht="15" customHeight="1" x14ac:dyDescent="0.3">
      <c r="A31" s="8" t="s">
        <v>150</v>
      </c>
      <c r="B31" s="14">
        <f>B29+B30</f>
        <v>13993.369999999997</v>
      </c>
    </row>
    <row r="32" spans="1:2" ht="15" customHeight="1" x14ac:dyDescent="0.3">
      <c r="A32" s="12"/>
      <c r="B32" s="12"/>
    </row>
    <row r="33" spans="1:2" ht="15" customHeight="1" x14ac:dyDescent="0.3">
      <c r="A33" s="19" t="s">
        <v>151</v>
      </c>
      <c r="B33" s="19"/>
    </row>
    <row r="34" spans="1:2" ht="15" customHeight="1" x14ac:dyDescent="0.3">
      <c r="A34" s="25" t="s">
        <v>152</v>
      </c>
      <c r="B34" s="13"/>
    </row>
    <row r="35" spans="1:2" ht="15" customHeight="1" x14ac:dyDescent="0.3">
      <c r="A35" s="26" t="s">
        <v>153</v>
      </c>
      <c r="B35" s="14"/>
    </row>
    <row r="36" spans="1:2" ht="15" customHeight="1" x14ac:dyDescent="0.3">
      <c r="A36" s="25" t="s">
        <v>154</v>
      </c>
      <c r="B36" s="13"/>
    </row>
    <row r="37" spans="1:2" ht="15" customHeight="1" x14ac:dyDescent="0.3">
      <c r="A37" s="26" t="s">
        <v>155</v>
      </c>
      <c r="B37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4"/>
  <sheetViews>
    <sheetView zoomScaleNormal="100" workbookViewId="0"/>
  </sheetViews>
  <sheetFormatPr defaultColWidth="8.6640625" defaultRowHeight="14.4" x14ac:dyDescent="0.3"/>
  <cols>
    <col min="1" max="1" width="52" customWidth="1"/>
    <col min="2" max="2" width="18" customWidth="1"/>
  </cols>
  <sheetData>
    <row r="1" spans="1:2" ht="15.75" customHeight="1" x14ac:dyDescent="0.35">
      <c r="A1" s="1" t="s">
        <v>156</v>
      </c>
    </row>
    <row r="2" spans="1:2" ht="15" customHeight="1" x14ac:dyDescent="0.3">
      <c r="A2" s="2" t="s">
        <v>157</v>
      </c>
    </row>
    <row r="3" spans="1:2" ht="15" customHeight="1" x14ac:dyDescent="0.3">
      <c r="A3" s="12"/>
      <c r="B3" s="12"/>
    </row>
    <row r="4" spans="1:2" ht="15" customHeight="1" x14ac:dyDescent="0.3">
      <c r="A4" s="4" t="s">
        <v>158</v>
      </c>
      <c r="B4" s="5"/>
    </row>
    <row r="5" spans="1:2" ht="15" customHeight="1" x14ac:dyDescent="0.3">
      <c r="A5" s="12"/>
      <c r="B5" s="12"/>
    </row>
    <row r="6" spans="1:2" ht="15" customHeight="1" x14ac:dyDescent="0.3">
      <c r="A6" s="6" t="s">
        <v>159</v>
      </c>
      <c r="B6" s="13">
        <f>'Transaction Assumptions'!B31</f>
        <v>13993.369999999997</v>
      </c>
    </row>
    <row r="7" spans="1:2" ht="15" customHeight="1" x14ac:dyDescent="0.3">
      <c r="A7" s="24" t="s">
        <v>160</v>
      </c>
      <c r="B7" s="27">
        <v>0</v>
      </c>
    </row>
    <row r="8" spans="1:2" ht="15" customHeight="1" x14ac:dyDescent="0.3">
      <c r="A8" s="8" t="s">
        <v>161</v>
      </c>
      <c r="B8" s="14">
        <f>'Transaction Assumptions'!B29*'Transaction Assumptions'!B9</f>
        <v>282.04199999999992</v>
      </c>
    </row>
    <row r="9" spans="1:2" ht="15.75" customHeight="1" x14ac:dyDescent="0.3">
      <c r="A9" s="10" t="s">
        <v>162</v>
      </c>
      <c r="B9" s="11">
        <f>SUM(B6:B8)</f>
        <v>14275.411999999997</v>
      </c>
    </row>
    <row r="10" spans="1:2" ht="15" customHeight="1" x14ac:dyDescent="0.3">
      <c r="A10" s="12"/>
      <c r="B10" s="12"/>
    </row>
    <row r="11" spans="1:2" ht="15" customHeight="1" x14ac:dyDescent="0.3">
      <c r="A11" s="4" t="s">
        <v>163</v>
      </c>
      <c r="B11" s="5"/>
    </row>
    <row r="12" spans="1:2" ht="15" customHeight="1" x14ac:dyDescent="0.3">
      <c r="A12" s="12"/>
      <c r="B12" s="12"/>
    </row>
    <row r="13" spans="1:2" ht="15" customHeight="1" x14ac:dyDescent="0.3">
      <c r="A13" s="6" t="s">
        <v>164</v>
      </c>
      <c r="B13" s="13">
        <f>'Transaction Assumptions'!B14*'Transaction Assumptions'!B23</f>
        <v>10968.299999999997</v>
      </c>
    </row>
    <row r="14" spans="1:2" ht="15" customHeight="1" x14ac:dyDescent="0.3">
      <c r="A14" s="8" t="s">
        <v>165</v>
      </c>
      <c r="B14" s="14">
        <f>B9-B13</f>
        <v>3307.1119999999992</v>
      </c>
    </row>
    <row r="15" spans="1:2" ht="15.75" customHeight="1" x14ac:dyDescent="0.3">
      <c r="A15" s="10" t="s">
        <v>166</v>
      </c>
      <c r="B15" s="11">
        <f>SUM(B13:B14)</f>
        <v>14275.411999999997</v>
      </c>
    </row>
    <row r="16" spans="1:2" ht="15" customHeight="1" x14ac:dyDescent="0.3">
      <c r="A16" s="12"/>
      <c r="B16" s="12"/>
    </row>
    <row r="17" spans="1:2" ht="15" customHeight="1" x14ac:dyDescent="0.3">
      <c r="A17" s="6" t="s">
        <v>167</v>
      </c>
      <c r="B17" s="13">
        <f>B15-B9</f>
        <v>0</v>
      </c>
    </row>
    <row r="18" spans="1:2" ht="15" customHeight="1" x14ac:dyDescent="0.3">
      <c r="A18" s="12"/>
      <c r="B18" s="12"/>
    </row>
    <row r="19" spans="1:2" ht="15" customHeight="1" x14ac:dyDescent="0.3">
      <c r="A19" s="4" t="s">
        <v>168</v>
      </c>
      <c r="B19" s="5"/>
    </row>
    <row r="20" spans="1:2" ht="15" customHeight="1" x14ac:dyDescent="0.3">
      <c r="A20" s="8" t="s">
        <v>169</v>
      </c>
      <c r="B20" s="28">
        <f>B13/'Transaction Assumptions'!B23</f>
        <v>7</v>
      </c>
    </row>
    <row r="21" spans="1:2" ht="15" customHeight="1" x14ac:dyDescent="0.3">
      <c r="A21" s="6" t="s">
        <v>170</v>
      </c>
      <c r="B21" s="29">
        <f>B14/B15</f>
        <v>0.23166490746466722</v>
      </c>
    </row>
    <row r="22" spans="1:2" ht="15" customHeight="1" x14ac:dyDescent="0.3">
      <c r="A22" s="8" t="s">
        <v>171</v>
      </c>
      <c r="B22" s="14">
        <f>B13/B14</f>
        <v>3.3165795413037116</v>
      </c>
    </row>
    <row r="23" spans="1:2" ht="15" customHeight="1" x14ac:dyDescent="0.3">
      <c r="A23" s="6" t="s">
        <v>172</v>
      </c>
      <c r="B23" s="29">
        <f>B13/B15</f>
        <v>0.76833509253533283</v>
      </c>
    </row>
    <row r="24" spans="1:2" ht="15" customHeight="1" x14ac:dyDescent="0.3">
      <c r="A24" s="8" t="s">
        <v>173</v>
      </c>
      <c r="B24" s="28">
        <f>B14/B15</f>
        <v>0.23166490746466722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"/>
  <sheetViews>
    <sheetView zoomScaleNormal="100" workbookViewId="0">
      <pane xSplit="1" ySplit="4" topLeftCell="B21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6640625" defaultRowHeight="14.4" x14ac:dyDescent="0.3"/>
  <cols>
    <col min="1" max="1" width="52" customWidth="1"/>
    <col min="2" max="4" width="18" customWidth="1"/>
  </cols>
  <sheetData>
    <row r="1" spans="1:4" ht="15.75" customHeight="1" x14ac:dyDescent="0.35">
      <c r="A1" s="1" t="s">
        <v>174</v>
      </c>
    </row>
    <row r="2" spans="1:4" ht="15" customHeight="1" x14ac:dyDescent="0.3">
      <c r="A2" s="2" t="s">
        <v>175</v>
      </c>
    </row>
    <row r="4" spans="1:4" ht="21.75" customHeight="1" x14ac:dyDescent="0.3">
      <c r="A4" s="3" t="s">
        <v>2</v>
      </c>
      <c r="B4" s="3" t="s">
        <v>176</v>
      </c>
      <c r="C4" s="3" t="s">
        <v>177</v>
      </c>
      <c r="D4" s="3" t="s">
        <v>178</v>
      </c>
    </row>
    <row r="5" spans="1:4" ht="15" customHeight="1" x14ac:dyDescent="0.3">
      <c r="A5" s="12"/>
      <c r="B5" s="12"/>
      <c r="C5" s="12"/>
      <c r="D5" s="12"/>
    </row>
    <row r="6" spans="1:4" ht="15" customHeight="1" x14ac:dyDescent="0.3">
      <c r="A6" s="4" t="s">
        <v>8</v>
      </c>
      <c r="B6" s="5"/>
      <c r="C6" s="5"/>
      <c r="D6" s="5"/>
    </row>
    <row r="7" spans="1:4" ht="15" customHeight="1" x14ac:dyDescent="0.3">
      <c r="A7" s="6" t="s">
        <v>179</v>
      </c>
      <c r="B7" s="23">
        <f>'Balance Sheet'!C16</f>
        <v>2419.41</v>
      </c>
      <c r="C7" s="13">
        <f>D7-B7</f>
        <v>0</v>
      </c>
      <c r="D7" s="13">
        <f>B7</f>
        <v>2419.41</v>
      </c>
    </row>
    <row r="8" spans="1:4" ht="15" customHeight="1" x14ac:dyDescent="0.3">
      <c r="A8" s="8" t="s">
        <v>180</v>
      </c>
      <c r="B8" s="14">
        <v>0</v>
      </c>
      <c r="C8" s="14">
        <f>D8-B8</f>
        <v>9357.5499999999975</v>
      </c>
      <c r="D8" s="14">
        <f>'Transaction Assumptions'!B31-(D7+D12-D25-D28)</f>
        <v>9357.5499999999975</v>
      </c>
    </row>
    <row r="9" spans="1:4" ht="15" customHeight="1" x14ac:dyDescent="0.3">
      <c r="A9" s="24" t="s">
        <v>181</v>
      </c>
      <c r="B9" s="19"/>
      <c r="C9" s="19"/>
      <c r="D9" s="19"/>
    </row>
    <row r="10" spans="1:4" ht="15.75" customHeight="1" x14ac:dyDescent="0.3">
      <c r="A10" s="10" t="s">
        <v>182</v>
      </c>
      <c r="B10" s="11">
        <f>B7+B8</f>
        <v>2419.41</v>
      </c>
      <c r="C10" s="11">
        <f>D10-B10</f>
        <v>9357.5499999999975</v>
      </c>
      <c r="D10" s="11">
        <f>D7+D8</f>
        <v>11776.959999999997</v>
      </c>
    </row>
    <row r="11" spans="1:4" ht="15" customHeight="1" x14ac:dyDescent="0.3">
      <c r="A11" s="12"/>
      <c r="B11" s="12"/>
      <c r="C11" s="12"/>
      <c r="D11" s="12"/>
    </row>
    <row r="12" spans="1:4" ht="15" customHeight="1" x14ac:dyDescent="0.3">
      <c r="A12" s="6" t="s">
        <v>183</v>
      </c>
      <c r="B12" s="23">
        <f>'Balance Sheet'!C28-'Balance Sheet'!C22</f>
        <v>3632.17</v>
      </c>
      <c r="C12" s="13">
        <f>D12-B12</f>
        <v>0</v>
      </c>
      <c r="D12" s="13">
        <f>B12</f>
        <v>3632.17</v>
      </c>
    </row>
    <row r="13" spans="1:4" ht="15" customHeight="1" x14ac:dyDescent="0.3">
      <c r="A13" s="8" t="s">
        <v>184</v>
      </c>
      <c r="B13" s="22">
        <f>'Balance Sheet'!C22</f>
        <v>103.26</v>
      </c>
      <c r="C13" s="14">
        <f>D13-B13</f>
        <v>-103.26</v>
      </c>
      <c r="D13" s="14">
        <v>0</v>
      </c>
    </row>
    <row r="14" spans="1:4" ht="15" customHeight="1" x14ac:dyDescent="0.3">
      <c r="A14" s="24" t="s">
        <v>185</v>
      </c>
      <c r="B14" s="19"/>
      <c r="C14" s="19"/>
      <c r="D14" s="19"/>
    </row>
    <row r="15" spans="1:4" ht="15.75" customHeight="1" x14ac:dyDescent="0.3">
      <c r="A15" s="10" t="s">
        <v>186</v>
      </c>
      <c r="B15" s="11">
        <f>B12+B13</f>
        <v>3735.4300000000003</v>
      </c>
      <c r="C15" s="11">
        <f>D15-B15</f>
        <v>-103.26000000000022</v>
      </c>
      <c r="D15" s="11">
        <f>D12+D13</f>
        <v>3632.17</v>
      </c>
    </row>
    <row r="16" spans="1:4" ht="15" customHeight="1" x14ac:dyDescent="0.3">
      <c r="A16" s="12"/>
      <c r="B16" s="12"/>
      <c r="C16" s="12"/>
      <c r="D16" s="12"/>
    </row>
    <row r="17" spans="1:4" ht="15.75" customHeight="1" x14ac:dyDescent="0.3">
      <c r="A17" s="10" t="s">
        <v>187</v>
      </c>
      <c r="B17" s="11">
        <f>B10+B15</f>
        <v>6154.84</v>
      </c>
      <c r="C17" s="11">
        <f>D17-B17</f>
        <v>9254.2899999999972</v>
      </c>
      <c r="D17" s="11">
        <f>D10+D15</f>
        <v>15409.129999999997</v>
      </c>
    </row>
    <row r="18" spans="1:4" ht="15" customHeight="1" x14ac:dyDescent="0.3">
      <c r="A18" s="12"/>
      <c r="B18" s="12"/>
      <c r="C18" s="12"/>
      <c r="D18" s="12"/>
    </row>
    <row r="19" spans="1:4" ht="15" customHeight="1" x14ac:dyDescent="0.3">
      <c r="A19" s="4" t="s">
        <v>32</v>
      </c>
      <c r="B19" s="5"/>
      <c r="C19" s="5"/>
      <c r="D19" s="5"/>
    </row>
    <row r="20" spans="1:4" ht="15" customHeight="1" x14ac:dyDescent="0.3">
      <c r="A20" s="6" t="s">
        <v>188</v>
      </c>
      <c r="B20" s="23">
        <f>'Balance Sheet'!C34+'Balance Sheet'!C35</f>
        <v>4527.09</v>
      </c>
      <c r="C20" s="13">
        <f>D20-B20</f>
        <v>-1219.978000000001</v>
      </c>
      <c r="D20" s="13">
        <f>'Sources &amp; Uses'!B14</f>
        <v>3307.1119999999992</v>
      </c>
    </row>
    <row r="21" spans="1:4" ht="15" customHeight="1" x14ac:dyDescent="0.3">
      <c r="A21" s="30" t="s">
        <v>189</v>
      </c>
      <c r="B21" s="14">
        <v>0</v>
      </c>
      <c r="C21" s="14">
        <f>D21-B21</f>
        <v>-282.04199999999992</v>
      </c>
      <c r="D21" s="14">
        <f>-'Sources &amp; Uses'!B8</f>
        <v>-282.04199999999992</v>
      </c>
    </row>
    <row r="22" spans="1:4" ht="15.75" customHeight="1" x14ac:dyDescent="0.3">
      <c r="A22" s="10" t="s">
        <v>190</v>
      </c>
      <c r="B22" s="11">
        <f>B20+B21</f>
        <v>4527.09</v>
      </c>
      <c r="C22" s="11">
        <f>D22-B22</f>
        <v>-1502.0200000000009</v>
      </c>
      <c r="D22" s="11">
        <f>D20+D21</f>
        <v>3025.0699999999993</v>
      </c>
    </row>
    <row r="23" spans="1:4" ht="15" customHeight="1" x14ac:dyDescent="0.3">
      <c r="A23" s="4" t="s">
        <v>37</v>
      </c>
      <c r="B23" s="5"/>
      <c r="C23" s="5"/>
      <c r="D23" s="5"/>
    </row>
    <row r="24" spans="1:4" ht="15" customHeight="1" x14ac:dyDescent="0.3">
      <c r="A24" s="6" t="s">
        <v>191</v>
      </c>
      <c r="B24" s="23">
        <f>'Balance Sheet'!C39</f>
        <v>0</v>
      </c>
      <c r="C24" s="13">
        <f>D24-B24</f>
        <v>10968.299999999997</v>
      </c>
      <c r="D24" s="13">
        <f>'Sources &amp; Uses'!B13</f>
        <v>10968.299999999997</v>
      </c>
    </row>
    <row r="25" spans="1:4" ht="15" customHeight="1" x14ac:dyDescent="0.3">
      <c r="A25" s="8" t="s">
        <v>192</v>
      </c>
      <c r="B25" s="22">
        <f>'Balance Sheet'!C45-'Balance Sheet'!C39</f>
        <v>212</v>
      </c>
      <c r="C25" s="14">
        <f>D25-B25</f>
        <v>0</v>
      </c>
      <c r="D25" s="14">
        <f>B25</f>
        <v>212</v>
      </c>
    </row>
    <row r="26" spans="1:4" ht="15.75" customHeight="1" x14ac:dyDescent="0.3">
      <c r="A26" s="10" t="s">
        <v>193</v>
      </c>
      <c r="B26" s="11">
        <f>B24+B25</f>
        <v>212</v>
      </c>
      <c r="C26" s="11">
        <f>D26-B26</f>
        <v>10968.299999999997</v>
      </c>
      <c r="D26" s="11">
        <f>D24+D25</f>
        <v>11180.299999999997</v>
      </c>
    </row>
    <row r="27" spans="1:4" ht="15" customHeight="1" x14ac:dyDescent="0.3">
      <c r="A27" s="12"/>
      <c r="B27" s="12"/>
      <c r="C27" s="12"/>
      <c r="D27" s="12"/>
    </row>
    <row r="28" spans="1:4" ht="15" customHeight="1" x14ac:dyDescent="0.3">
      <c r="A28" s="6" t="s">
        <v>194</v>
      </c>
      <c r="B28" s="23">
        <f>'Balance Sheet'!C56</f>
        <v>1415.75</v>
      </c>
      <c r="C28" s="13">
        <f>D28-B28</f>
        <v>-211.99</v>
      </c>
      <c r="D28" s="13">
        <f>'Balance Sheet'!C56-'Balance Sheet'!C48</f>
        <v>1203.76</v>
      </c>
    </row>
    <row r="29" spans="1:4" ht="15" customHeight="1" x14ac:dyDescent="0.3">
      <c r="A29" s="24" t="s">
        <v>195</v>
      </c>
      <c r="B29" s="19"/>
      <c r="C29" s="19"/>
      <c r="D29" s="19"/>
    </row>
    <row r="30" spans="1:4" ht="15.75" customHeight="1" x14ac:dyDescent="0.3">
      <c r="A30" s="10" t="s">
        <v>196</v>
      </c>
      <c r="B30" s="11">
        <f>B26+B28</f>
        <v>1627.75</v>
      </c>
      <c r="C30" s="11">
        <f>D30-B30</f>
        <v>10756.309999999998</v>
      </c>
      <c r="D30" s="11">
        <f>D26+D28</f>
        <v>12384.059999999998</v>
      </c>
    </row>
    <row r="31" spans="1:4" ht="15" customHeight="1" x14ac:dyDescent="0.3">
      <c r="A31" s="12"/>
      <c r="B31" s="12"/>
      <c r="C31" s="12"/>
      <c r="D31" s="12"/>
    </row>
    <row r="32" spans="1:4" ht="15.75" customHeight="1" x14ac:dyDescent="0.3">
      <c r="A32" s="10" t="s">
        <v>197</v>
      </c>
      <c r="B32" s="11">
        <f>B22+B30</f>
        <v>6154.84</v>
      </c>
      <c r="C32" s="11">
        <f>D32-B32</f>
        <v>9254.2899999999972</v>
      </c>
      <c r="D32" s="11">
        <f>D22+D30</f>
        <v>15409.129999999997</v>
      </c>
    </row>
    <row r="33" spans="1:4" ht="15" customHeight="1" x14ac:dyDescent="0.3">
      <c r="A33" s="12"/>
      <c r="B33" s="12"/>
      <c r="C33" s="12"/>
      <c r="D33" s="12"/>
    </row>
    <row r="34" spans="1:4" ht="15.75" customHeight="1" x14ac:dyDescent="0.3">
      <c r="A34" s="10" t="s">
        <v>198</v>
      </c>
      <c r="B34" s="11"/>
      <c r="C34" s="11"/>
      <c r="D34" s="11">
        <f>D17-D32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48" customWidth="1"/>
    <col min="2" max="7" width="14" customWidth="1"/>
  </cols>
  <sheetData>
    <row r="1" spans="1:7" ht="15.75" customHeight="1" x14ac:dyDescent="0.35">
      <c r="A1" s="1" t="s">
        <v>199</v>
      </c>
    </row>
    <row r="2" spans="1:7" ht="15" customHeight="1" x14ac:dyDescent="0.3">
      <c r="A2" s="2" t="s">
        <v>200</v>
      </c>
    </row>
    <row r="4" spans="1:7" ht="21.75" customHeight="1" x14ac:dyDescent="0.3">
      <c r="A4" s="3" t="s">
        <v>2</v>
      </c>
      <c r="B4" s="3" t="s">
        <v>201</v>
      </c>
      <c r="C4" s="3" t="s">
        <v>202</v>
      </c>
      <c r="D4" s="3" t="s">
        <v>203</v>
      </c>
      <c r="E4" s="3" t="s">
        <v>204</v>
      </c>
      <c r="F4" s="3" t="s">
        <v>205</v>
      </c>
      <c r="G4" s="3" t="s">
        <v>206</v>
      </c>
    </row>
    <row r="5" spans="1:7" ht="15" customHeight="1" x14ac:dyDescent="0.3">
      <c r="A5" s="12"/>
      <c r="B5" s="12"/>
      <c r="C5" s="12"/>
      <c r="D5" s="12"/>
      <c r="E5" s="12"/>
      <c r="F5" s="12"/>
      <c r="G5" s="12"/>
    </row>
    <row r="6" spans="1:7" ht="15" customHeight="1" x14ac:dyDescent="0.3">
      <c r="A6" s="4" t="s">
        <v>207</v>
      </c>
      <c r="B6" s="5"/>
      <c r="C6" s="5"/>
      <c r="D6" s="5"/>
      <c r="E6" s="5"/>
      <c r="F6" s="5"/>
      <c r="G6" s="5"/>
    </row>
    <row r="7" spans="1:7" ht="15" customHeight="1" x14ac:dyDescent="0.3">
      <c r="A7" s="6" t="s">
        <v>208</v>
      </c>
      <c r="B7" s="29"/>
      <c r="C7" s="18">
        <v>0.12</v>
      </c>
      <c r="D7" s="18">
        <v>0.11</v>
      </c>
      <c r="E7" s="18">
        <v>0.1</v>
      </c>
      <c r="F7" s="18">
        <v>0.09</v>
      </c>
      <c r="G7" s="18">
        <v>0.08</v>
      </c>
    </row>
    <row r="8" spans="1:7" ht="15.75" customHeight="1" x14ac:dyDescent="0.3">
      <c r="A8" s="10" t="s">
        <v>209</v>
      </c>
      <c r="B8" s="31"/>
      <c r="C8" s="32">
        <v>0.28999999999999998</v>
      </c>
      <c r="D8" s="32">
        <v>0.28999999999999998</v>
      </c>
      <c r="E8" s="32">
        <v>0.28999999999999998</v>
      </c>
      <c r="F8" s="32">
        <v>0.28999999999999998</v>
      </c>
      <c r="G8" s="32">
        <v>0.28999999999999998</v>
      </c>
    </row>
    <row r="9" spans="1:7" ht="15" customHeight="1" x14ac:dyDescent="0.3">
      <c r="A9" s="8" t="s">
        <v>210</v>
      </c>
      <c r="B9" s="28"/>
      <c r="C9" s="21">
        <v>3.1800000000000002E-2</v>
      </c>
      <c r="D9" s="21">
        <v>3.1800000000000002E-2</v>
      </c>
      <c r="E9" s="21">
        <v>3.1800000000000002E-2</v>
      </c>
      <c r="F9" s="21">
        <v>3.1800000000000002E-2</v>
      </c>
      <c r="G9" s="21">
        <v>3.1800000000000002E-2</v>
      </c>
    </row>
    <row r="10" spans="1:7" ht="15" customHeight="1" x14ac:dyDescent="0.3">
      <c r="A10" s="6" t="s">
        <v>211</v>
      </c>
      <c r="B10" s="29"/>
      <c r="C10" s="18">
        <v>0.23100000000000001</v>
      </c>
      <c r="D10" s="18">
        <v>0.23100000000000001</v>
      </c>
      <c r="E10" s="18">
        <v>0.23100000000000001</v>
      </c>
      <c r="F10" s="18">
        <v>0.23100000000000001</v>
      </c>
      <c r="G10" s="18">
        <v>0.23100000000000001</v>
      </c>
    </row>
    <row r="11" spans="1:7" ht="15" customHeight="1" x14ac:dyDescent="0.3">
      <c r="A11" s="8" t="s">
        <v>212</v>
      </c>
      <c r="B11" s="28"/>
      <c r="C11" s="21">
        <v>6.7000000000000004E-2</v>
      </c>
      <c r="D11" s="21">
        <v>6.7000000000000004E-2</v>
      </c>
      <c r="E11" s="21">
        <v>6.7000000000000004E-2</v>
      </c>
      <c r="F11" s="21">
        <v>6.7000000000000004E-2</v>
      </c>
      <c r="G11" s="21">
        <v>6.7000000000000004E-2</v>
      </c>
    </row>
    <row r="12" spans="1:7" ht="15" customHeight="1" x14ac:dyDescent="0.3">
      <c r="A12" s="12"/>
      <c r="B12" s="12"/>
      <c r="C12" s="12"/>
      <c r="D12" s="12"/>
      <c r="E12" s="12"/>
      <c r="F12" s="12"/>
      <c r="G12" s="12"/>
    </row>
    <row r="13" spans="1:7" ht="15" customHeight="1" x14ac:dyDescent="0.3">
      <c r="A13" s="4" t="s">
        <v>213</v>
      </c>
      <c r="B13" s="5"/>
      <c r="C13" s="5"/>
      <c r="D13" s="5"/>
      <c r="E13" s="5"/>
      <c r="F13" s="5"/>
      <c r="G13" s="5"/>
    </row>
    <row r="14" spans="1:7" ht="15" customHeight="1" x14ac:dyDescent="0.3">
      <c r="A14" s="6" t="s">
        <v>214</v>
      </c>
      <c r="B14" s="23">
        <f>'Profit &amp; Loss'!C6</f>
        <v>5452.86</v>
      </c>
      <c r="C14" s="13">
        <f>B14*(1+C7)</f>
        <v>6107.2031999999999</v>
      </c>
      <c r="D14" s="13">
        <f>C14*(1+D7)</f>
        <v>6778.9955520000003</v>
      </c>
      <c r="E14" s="13">
        <f>D14*(1+E7)</f>
        <v>7456.8951072000009</v>
      </c>
      <c r="F14" s="13">
        <f>E14*(1+F7)</f>
        <v>8128.0156668480013</v>
      </c>
      <c r="G14" s="13">
        <f>F14*(1+G7)</f>
        <v>8778.2569201958413</v>
      </c>
    </row>
    <row r="15" spans="1:7" ht="15.75" customHeight="1" x14ac:dyDescent="0.3">
      <c r="A15" s="10" t="s">
        <v>215</v>
      </c>
      <c r="B15" s="33">
        <f>'Transaction Assumptions'!B23</f>
        <v>1566.8999999999996</v>
      </c>
      <c r="C15" s="11">
        <f>C14*C8</f>
        <v>1771.0889279999999</v>
      </c>
      <c r="D15" s="11">
        <f>D14*D8</f>
        <v>1965.90871008</v>
      </c>
      <c r="E15" s="11">
        <f>E14*E8</f>
        <v>2162.499581088</v>
      </c>
      <c r="F15" s="11">
        <f>F14*F8</f>
        <v>2357.1245433859203</v>
      </c>
      <c r="G15" s="11">
        <f>G14*G8</f>
        <v>2545.6945068567939</v>
      </c>
    </row>
    <row r="16" spans="1:7" ht="15" customHeight="1" x14ac:dyDescent="0.3">
      <c r="A16" s="8" t="s">
        <v>216</v>
      </c>
      <c r="B16" s="22">
        <f>-'Profit &amp; Loss'!C16</f>
        <v>-173.14</v>
      </c>
      <c r="C16" s="14">
        <f>-C14*C9</f>
        <v>-194.20906176</v>
      </c>
      <c r="D16" s="14">
        <f>-D14*D9</f>
        <v>-215.57205855360002</v>
      </c>
      <c r="E16" s="14">
        <f>-E14*E9</f>
        <v>-237.12926440896004</v>
      </c>
      <c r="F16" s="14">
        <f>-F14*F9</f>
        <v>-258.47089820576645</v>
      </c>
      <c r="G16" s="14">
        <f>-G14*G9</f>
        <v>-279.14857006222775</v>
      </c>
    </row>
    <row r="17" spans="1:7" ht="15.75" customHeight="1" x14ac:dyDescent="0.3">
      <c r="A17" s="10" t="s">
        <v>217</v>
      </c>
      <c r="B17" s="11">
        <f t="shared" ref="B17:G17" si="0">B15+B16</f>
        <v>1393.7599999999998</v>
      </c>
      <c r="C17" s="11">
        <f t="shared" si="0"/>
        <v>1576.87986624</v>
      </c>
      <c r="D17" s="11">
        <f t="shared" si="0"/>
        <v>1750.3366515263999</v>
      </c>
      <c r="E17" s="11">
        <f t="shared" si="0"/>
        <v>1925.3703166790399</v>
      </c>
      <c r="F17" s="11">
        <f t="shared" si="0"/>
        <v>2098.6536451801539</v>
      </c>
      <c r="G17" s="11">
        <f t="shared" si="0"/>
        <v>2266.5459367945659</v>
      </c>
    </row>
    <row r="18" spans="1:7" ht="15" customHeight="1" x14ac:dyDescent="0.3">
      <c r="A18" s="6" t="s">
        <v>218</v>
      </c>
      <c r="B18" s="23">
        <f>-'Profit &amp; Loss'!C15</f>
        <v>-16.11</v>
      </c>
      <c r="C18" s="13">
        <f ca="1">'Debt Schedule'!C11</f>
        <v>-1058.4409499999999</v>
      </c>
      <c r="D18" s="13">
        <f ca="1">'Debt Schedule'!D11</f>
        <v>-981.66284999999971</v>
      </c>
      <c r="E18" s="13">
        <f ca="1">'Debt Schedule'!E11</f>
        <v>-904.88474999999983</v>
      </c>
      <c r="F18" s="13">
        <f ca="1">'Debt Schedule'!F11</f>
        <v>-828.10664999999995</v>
      </c>
      <c r="G18" s="13">
        <f ca="1">'Debt Schedule'!G11</f>
        <v>-746.73042578107584</v>
      </c>
    </row>
    <row r="19" spans="1:7" ht="15" customHeight="1" x14ac:dyDescent="0.3">
      <c r="A19" s="8" t="s">
        <v>219</v>
      </c>
      <c r="B19" s="14">
        <f t="shared" ref="B19:G19" si="1">B17+B18</f>
        <v>1377.6499999999999</v>
      </c>
      <c r="C19" s="14">
        <f t="shared" ca="1" si="1"/>
        <v>518.43891624000003</v>
      </c>
      <c r="D19" s="14">
        <f t="shared" ca="1" si="1"/>
        <v>768.67380152640021</v>
      </c>
      <c r="E19" s="14">
        <f t="shared" ca="1" si="1"/>
        <v>1020.4855666790401</v>
      </c>
      <c r="F19" s="14">
        <f t="shared" ca="1" si="1"/>
        <v>1270.546995180154</v>
      </c>
      <c r="G19" s="14">
        <f t="shared" ca="1" si="1"/>
        <v>1519.8155110134901</v>
      </c>
    </row>
    <row r="20" spans="1:7" ht="15" customHeight="1" x14ac:dyDescent="0.3">
      <c r="A20" s="6" t="s">
        <v>220</v>
      </c>
      <c r="B20" s="23">
        <f>-('Profit &amp; Loss'!C22+'Profit &amp; Loss'!C23+'Profit &amp; Loss'!C24)</f>
        <v>-321.65000000000003</v>
      </c>
      <c r="C20" s="13">
        <f ca="1">-C19*C10</f>
        <v>-119.75938965144002</v>
      </c>
      <c r="D20" s="13">
        <f ca="1">-D19*D10</f>
        <v>-177.56364815259846</v>
      </c>
      <c r="E20" s="13">
        <f ca="1">-E19*E10</f>
        <v>-235.73216590285827</v>
      </c>
      <c r="F20" s="13">
        <f ca="1">-F19*F10</f>
        <v>-293.49635588661556</v>
      </c>
      <c r="G20" s="13">
        <f ca="1">-G19*G10</f>
        <v>-351.07738304411623</v>
      </c>
    </row>
    <row r="21" spans="1:7" ht="15.75" customHeight="1" x14ac:dyDescent="0.3">
      <c r="A21" s="10" t="s">
        <v>221</v>
      </c>
      <c r="B21" s="11">
        <f t="shared" ref="B21:G21" si="2">B19+B20</f>
        <v>1055.9999999999998</v>
      </c>
      <c r="C21" s="11">
        <f t="shared" ca="1" si="2"/>
        <v>398.67952658856001</v>
      </c>
      <c r="D21" s="11">
        <f t="shared" ca="1" si="2"/>
        <v>591.11015337380172</v>
      </c>
      <c r="E21" s="11">
        <f t="shared" ca="1" si="2"/>
        <v>784.75340077618182</v>
      </c>
      <c r="F21" s="11">
        <f t="shared" ca="1" si="2"/>
        <v>977.05063929353844</v>
      </c>
      <c r="G21" s="11">
        <f t="shared" ca="1" si="2"/>
        <v>1168.7381279693739</v>
      </c>
    </row>
    <row r="22" spans="1:7" ht="15" customHeight="1" x14ac:dyDescent="0.3">
      <c r="A22" s="12"/>
      <c r="B22" s="12"/>
      <c r="C22" s="12"/>
      <c r="D22" s="12"/>
      <c r="E22" s="12"/>
      <c r="F22" s="12"/>
      <c r="G22" s="12"/>
    </row>
    <row r="23" spans="1:7" ht="15.75" customHeight="1" x14ac:dyDescent="0.3">
      <c r="A23" s="10" t="s">
        <v>222</v>
      </c>
      <c r="B23" s="11"/>
      <c r="C23" s="11"/>
      <c r="D23" s="11"/>
      <c r="E23" s="11"/>
      <c r="F23" s="11"/>
      <c r="G23" s="11"/>
    </row>
    <row r="24" spans="1:7" ht="15.75" customHeight="1" x14ac:dyDescent="0.3">
      <c r="A24" s="10" t="s">
        <v>215</v>
      </c>
      <c r="B24" s="33">
        <f t="shared" ref="B24:G24" si="3">B15</f>
        <v>1566.8999999999996</v>
      </c>
      <c r="C24" s="11">
        <f t="shared" si="3"/>
        <v>1771.0889279999999</v>
      </c>
      <c r="D24" s="11">
        <f t="shared" si="3"/>
        <v>1965.90871008</v>
      </c>
      <c r="E24" s="11">
        <f t="shared" si="3"/>
        <v>2162.499581088</v>
      </c>
      <c r="F24" s="11">
        <f t="shared" si="3"/>
        <v>2357.1245433859203</v>
      </c>
      <c r="G24" s="11">
        <f t="shared" si="3"/>
        <v>2545.6945068567939</v>
      </c>
    </row>
    <row r="25" spans="1:7" ht="15" customHeight="1" x14ac:dyDescent="0.3">
      <c r="A25" s="8" t="s">
        <v>223</v>
      </c>
      <c r="B25" s="22">
        <f>B18</f>
        <v>-16.11</v>
      </c>
      <c r="C25" s="14">
        <f ca="1">'Debt Schedule'!C11</f>
        <v>-1058.4409499999999</v>
      </c>
      <c r="D25" s="14">
        <f ca="1">'Debt Schedule'!D11</f>
        <v>-981.66284999999971</v>
      </c>
      <c r="E25" s="14">
        <f ca="1">'Debt Schedule'!E11</f>
        <v>-904.88474999999983</v>
      </c>
      <c r="F25" s="14">
        <f ca="1">'Debt Schedule'!F11</f>
        <v>-828.10664999999995</v>
      </c>
      <c r="G25" s="14">
        <f ca="1">'Debt Schedule'!G11</f>
        <v>-746.73042578107584</v>
      </c>
    </row>
    <row r="26" spans="1:7" ht="15" customHeight="1" x14ac:dyDescent="0.3">
      <c r="A26" s="6" t="s">
        <v>224</v>
      </c>
      <c r="B26" s="23">
        <f t="shared" ref="B26:G26" si="4">B20</f>
        <v>-321.65000000000003</v>
      </c>
      <c r="C26" s="13">
        <f t="shared" ca="1" si="4"/>
        <v>-119.75938965144002</v>
      </c>
      <c r="D26" s="13">
        <f t="shared" ca="1" si="4"/>
        <v>-177.56364815259846</v>
      </c>
      <c r="E26" s="13">
        <f t="shared" ca="1" si="4"/>
        <v>-235.73216590285827</v>
      </c>
      <c r="F26" s="13">
        <f t="shared" ca="1" si="4"/>
        <v>-293.49635588661556</v>
      </c>
      <c r="G26" s="13">
        <f t="shared" ca="1" si="4"/>
        <v>-351.07738304411623</v>
      </c>
    </row>
    <row r="27" spans="1:7" ht="15" customHeight="1" x14ac:dyDescent="0.3">
      <c r="A27" s="8" t="s">
        <v>225</v>
      </c>
      <c r="B27" s="22">
        <f>-'Cash Flow Statement'!B22</f>
        <v>365.16</v>
      </c>
      <c r="C27" s="14">
        <f>-C14*C11</f>
        <v>-409.18261440000003</v>
      </c>
      <c r="D27" s="14">
        <f>-D14*D11</f>
        <v>-454.19270198400005</v>
      </c>
      <c r="E27" s="14">
        <f>-E14*E11</f>
        <v>-499.61197218240011</v>
      </c>
      <c r="F27" s="14">
        <f>-F14*F11</f>
        <v>-544.57704967881614</v>
      </c>
      <c r="G27" s="14">
        <f>-G14*G11</f>
        <v>-588.14321365312139</v>
      </c>
    </row>
    <row r="28" spans="1:7" ht="15" customHeight="1" x14ac:dyDescent="0.3">
      <c r="A28" s="6" t="s">
        <v>226</v>
      </c>
      <c r="B28" s="2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</row>
    <row r="29" spans="1:7" ht="15.75" customHeight="1" x14ac:dyDescent="0.3">
      <c r="A29" s="10" t="s">
        <v>227</v>
      </c>
      <c r="B29" s="33">
        <f t="shared" ref="B29:G29" si="5">SUM(B24:B28)</f>
        <v>1594.2999999999997</v>
      </c>
      <c r="C29" s="11">
        <f t="shared" ca="1" si="5"/>
        <v>183.70597394855997</v>
      </c>
      <c r="D29" s="11">
        <f t="shared" ca="1" si="5"/>
        <v>352.48950994340174</v>
      </c>
      <c r="E29" s="11">
        <f t="shared" ca="1" si="5"/>
        <v>522.27069300274195</v>
      </c>
      <c r="F29" s="11">
        <f t="shared" ca="1" si="5"/>
        <v>690.9444878204888</v>
      </c>
      <c r="G29" s="11">
        <f t="shared" ca="1" si="5"/>
        <v>859.74348437848039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8.6640625" defaultRowHeight="14.4" x14ac:dyDescent="0.3"/>
  <cols>
    <col min="1" max="1" width="52" customWidth="1"/>
    <col min="2" max="7" width="14" customWidth="1"/>
  </cols>
  <sheetData>
    <row r="1" spans="1:7" ht="15.75" customHeight="1" x14ac:dyDescent="0.35">
      <c r="A1" s="1" t="s">
        <v>228</v>
      </c>
    </row>
    <row r="3" spans="1:7" ht="21.75" customHeight="1" x14ac:dyDescent="0.3">
      <c r="A3" s="3" t="s">
        <v>2</v>
      </c>
      <c r="B3" s="3" t="s">
        <v>229</v>
      </c>
      <c r="C3" s="3" t="s">
        <v>202</v>
      </c>
      <c r="D3" s="3" t="s">
        <v>203</v>
      </c>
      <c r="E3" s="3" t="s">
        <v>204</v>
      </c>
      <c r="F3" s="3" t="s">
        <v>205</v>
      </c>
      <c r="G3" s="3" t="s">
        <v>230</v>
      </c>
    </row>
    <row r="4" spans="1:7" ht="15" customHeight="1" x14ac:dyDescent="0.3">
      <c r="A4" s="12"/>
      <c r="B4" s="12"/>
      <c r="C4" s="12"/>
      <c r="D4" s="12"/>
      <c r="E4" s="12"/>
      <c r="F4" s="12"/>
      <c r="G4" s="12"/>
    </row>
    <row r="5" spans="1:7" ht="15" customHeight="1" x14ac:dyDescent="0.3">
      <c r="A5" s="6" t="s">
        <v>231</v>
      </c>
      <c r="B5" s="13"/>
      <c r="C5" s="13"/>
      <c r="D5" s="13"/>
      <c r="E5" s="13"/>
      <c r="F5" s="13"/>
      <c r="G5" s="13"/>
    </row>
    <row r="6" spans="1:7" ht="15" customHeight="1" x14ac:dyDescent="0.3">
      <c r="A6" s="8" t="s">
        <v>232</v>
      </c>
      <c r="B6" s="22">
        <f>'Sources &amp; Uses'!B13</f>
        <v>10968.299999999997</v>
      </c>
      <c r="C6" s="14">
        <f>B9</f>
        <v>10968.299999999997</v>
      </c>
      <c r="D6" s="14">
        <f ca="1">C9</f>
        <v>10200.518999999997</v>
      </c>
      <c r="E6" s="14">
        <f ca="1">D9</f>
        <v>9432.7379999999976</v>
      </c>
      <c r="F6" s="14">
        <f ca="1">E9</f>
        <v>8664.9569999999985</v>
      </c>
      <c r="G6" s="14">
        <f ca="1">F9</f>
        <v>7897.1759999999986</v>
      </c>
    </row>
    <row r="7" spans="1:7" ht="15" customHeight="1" x14ac:dyDescent="0.3">
      <c r="A7" s="6" t="s">
        <v>233</v>
      </c>
      <c r="B7" s="13"/>
      <c r="C7" s="13">
        <f>-'Sources &amp; Uses'!$B$13*'Transaction Assumptions'!$B$16</f>
        <v>-767.78099999999995</v>
      </c>
      <c r="D7" s="13">
        <f>-'Sources &amp; Uses'!$B$13*'Transaction Assumptions'!$B$16</f>
        <v>-767.78099999999995</v>
      </c>
      <c r="E7" s="13">
        <f>-'Sources &amp; Uses'!$B$13*'Transaction Assumptions'!$B$16</f>
        <v>-767.78099999999995</v>
      </c>
      <c r="F7" s="13">
        <f>-'Sources &amp; Uses'!$B$13*'Transaction Assumptions'!$B$16</f>
        <v>-767.78099999999995</v>
      </c>
      <c r="G7" s="13">
        <f>-'Sources &amp; Uses'!$B$13*'Transaction Assumptions'!$B$16</f>
        <v>-767.78099999999995</v>
      </c>
    </row>
    <row r="8" spans="1:7" ht="15" customHeight="1" x14ac:dyDescent="0.3">
      <c r="A8" s="8" t="s">
        <v>234</v>
      </c>
      <c r="B8" s="14"/>
      <c r="C8" s="14">
        <f ca="1">-MAX(0,MIN(('Operating Model'!C29+C7)*'Transaction Assumptions'!$B$17,C6+C7))</f>
        <v>0</v>
      </c>
      <c r="D8" s="14">
        <f ca="1">-MAX(0,MIN(('Operating Model'!D29+D7)*'Transaction Assumptions'!$B$17,D6+D7))</f>
        <v>0</v>
      </c>
      <c r="E8" s="14">
        <f ca="1">-MAX(0,MIN(('Operating Model'!E29+E7)*'Transaction Assumptions'!$B$17,E6+E7))</f>
        <v>0</v>
      </c>
      <c r="F8" s="14">
        <f ca="1">-MAX(0,MIN(('Operating Model'!F29+F7)*'Transaction Assumptions'!$B$17,F6+F7))</f>
        <v>0</v>
      </c>
      <c r="G8" s="14">
        <f ca="1">-MAX(0,MIN(('Operating Model'!G29+G7)*'Transaction Assumptions'!$B$17,G6+G7))</f>
        <v>-91.96248437848044</v>
      </c>
    </row>
    <row r="9" spans="1:7" ht="15.75" customHeight="1" x14ac:dyDescent="0.3">
      <c r="A9" s="10" t="s">
        <v>235</v>
      </c>
      <c r="B9" s="33">
        <f>'Sources &amp; Uses'!B13</f>
        <v>10968.299999999997</v>
      </c>
      <c r="C9" s="11">
        <f ca="1">MAX(0,C6+C7+C8)</f>
        <v>10200.518999999997</v>
      </c>
      <c r="D9" s="11">
        <f ca="1">MAX(0,D6+D7+D8)</f>
        <v>9432.7379999999976</v>
      </c>
      <c r="E9" s="11">
        <f ca="1">MAX(0,E6+E7+E8)</f>
        <v>8664.9569999999985</v>
      </c>
      <c r="F9" s="11">
        <f ca="1">MAX(0,F6+F7+F8)</f>
        <v>7897.1759999999986</v>
      </c>
      <c r="G9" s="11">
        <f ca="1">MAX(0,G6+G7+G8)</f>
        <v>7037.4325156215182</v>
      </c>
    </row>
    <row r="10" spans="1:7" ht="15" customHeight="1" x14ac:dyDescent="0.3">
      <c r="A10" s="6" t="s">
        <v>236</v>
      </c>
      <c r="B10" s="13">
        <f>B9</f>
        <v>10968.299999999997</v>
      </c>
      <c r="C10" s="13">
        <f ca="1">(B9+C9)/2</f>
        <v>10584.409499999998</v>
      </c>
      <c r="D10" s="13">
        <f ca="1">(C9+D9)/2</f>
        <v>9816.6284999999971</v>
      </c>
      <c r="E10" s="13">
        <f ca="1">(D9+E9)/2</f>
        <v>9048.847499999998</v>
      </c>
      <c r="F10" s="13">
        <f ca="1">(E9+F9)/2</f>
        <v>8281.066499999999</v>
      </c>
      <c r="G10" s="13">
        <f ca="1">(F9+G9)/2</f>
        <v>7467.3042578107579</v>
      </c>
    </row>
    <row r="11" spans="1:7" ht="15" customHeight="1" x14ac:dyDescent="0.3">
      <c r="A11" s="8" t="s">
        <v>237</v>
      </c>
      <c r="B11" s="14">
        <v>0</v>
      </c>
      <c r="C11" s="14">
        <f ca="1">-C10*'Transaction Assumptions'!$B$15</f>
        <v>-1058.4409499999999</v>
      </c>
      <c r="D11" s="14">
        <f ca="1">-D10*'Transaction Assumptions'!$B$15</f>
        <v>-981.66284999999971</v>
      </c>
      <c r="E11" s="14">
        <f ca="1">-E10*'Transaction Assumptions'!$B$15</f>
        <v>-904.88474999999983</v>
      </c>
      <c r="F11" s="14">
        <f ca="1">-F10*'Transaction Assumptions'!$B$15</f>
        <v>-828.10664999999995</v>
      </c>
      <c r="G11" s="14">
        <f ca="1">-G10*'Transaction Assumptions'!$B$15</f>
        <v>-746.73042578107584</v>
      </c>
    </row>
    <row r="12" spans="1:7" ht="15" customHeight="1" x14ac:dyDescent="0.3">
      <c r="A12" s="12"/>
      <c r="B12" s="12"/>
      <c r="C12" s="12"/>
      <c r="D12" s="12"/>
      <c r="E12" s="12"/>
      <c r="F12" s="12"/>
      <c r="G12" s="12"/>
    </row>
    <row r="13" spans="1:7" ht="15" customHeight="1" x14ac:dyDescent="0.3">
      <c r="A13" s="34"/>
      <c r="B13" s="13"/>
      <c r="C13" s="13"/>
      <c r="D13" s="13"/>
      <c r="E13" s="13"/>
      <c r="F13" s="13"/>
      <c r="G13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4"/>
  <sheetViews>
    <sheetView zoomScaleNormal="100" workbookViewId="0"/>
  </sheetViews>
  <sheetFormatPr defaultColWidth="8.6640625" defaultRowHeight="14.4" x14ac:dyDescent="0.3"/>
  <cols>
    <col min="1" max="1" width="54" customWidth="1"/>
    <col min="2" max="2" width="18" customWidth="1"/>
  </cols>
  <sheetData>
    <row r="1" spans="1:2" ht="15.75" customHeight="1" x14ac:dyDescent="0.35">
      <c r="A1" s="1" t="s">
        <v>238</v>
      </c>
    </row>
    <row r="2" spans="1:2" ht="15" customHeight="1" x14ac:dyDescent="0.3">
      <c r="A2" s="2" t="s">
        <v>60</v>
      </c>
    </row>
    <row r="3" spans="1:2" ht="15" customHeight="1" x14ac:dyDescent="0.3">
      <c r="A3" s="12"/>
      <c r="B3" s="12"/>
    </row>
    <row r="4" spans="1:2" ht="15" customHeight="1" x14ac:dyDescent="0.3">
      <c r="A4" s="4" t="s">
        <v>239</v>
      </c>
      <c r="B4" s="5"/>
    </row>
    <row r="5" spans="1:2" ht="15" customHeight="1" x14ac:dyDescent="0.3">
      <c r="A5" s="6" t="s">
        <v>240</v>
      </c>
      <c r="B5" s="23">
        <f>'Operating Model'!G15</f>
        <v>2545.6945068567939</v>
      </c>
    </row>
    <row r="6" spans="1:2" ht="15.75" customHeight="1" x14ac:dyDescent="0.3">
      <c r="A6" s="10" t="s">
        <v>133</v>
      </c>
      <c r="B6" s="35">
        <f>'Transaction Assumptions'!B7</f>
        <v>9</v>
      </c>
    </row>
    <row r="7" spans="1:2" ht="15.75" customHeight="1" x14ac:dyDescent="0.3">
      <c r="A7" s="10" t="s">
        <v>241</v>
      </c>
      <c r="B7" s="11">
        <f>B5*B6</f>
        <v>22911.250561711146</v>
      </c>
    </row>
    <row r="8" spans="1:2" ht="15" customHeight="1" x14ac:dyDescent="0.3">
      <c r="A8" s="12"/>
      <c r="B8" s="12"/>
    </row>
    <row r="9" spans="1:2" ht="15" customHeight="1" x14ac:dyDescent="0.3">
      <c r="A9" s="4" t="s">
        <v>242</v>
      </c>
      <c r="B9" s="5"/>
    </row>
    <row r="10" spans="1:2" ht="15.75" customHeight="1" x14ac:dyDescent="0.3">
      <c r="A10" s="10" t="s">
        <v>241</v>
      </c>
      <c r="B10" s="11">
        <f>B7</f>
        <v>22911.250561711146</v>
      </c>
    </row>
    <row r="11" spans="1:2" ht="15" customHeight="1" x14ac:dyDescent="0.3">
      <c r="A11" s="8" t="s">
        <v>243</v>
      </c>
      <c r="B11" s="22">
        <f ca="1">-'Debt Schedule'!G9</f>
        <v>-7037.4325156215182</v>
      </c>
    </row>
    <row r="12" spans="1:2" ht="15" customHeight="1" x14ac:dyDescent="0.3">
      <c r="A12" s="6" t="s">
        <v>244</v>
      </c>
      <c r="B12" s="13">
        <v>0</v>
      </c>
    </row>
    <row r="13" spans="1:2" ht="15.75" customHeight="1" x14ac:dyDescent="0.3">
      <c r="A13" s="10" t="s">
        <v>245</v>
      </c>
      <c r="B13" s="11">
        <f ca="1">SUM(B10:B12)</f>
        <v>15873.818046089627</v>
      </c>
    </row>
    <row r="14" spans="1:2" ht="15" customHeight="1" x14ac:dyDescent="0.3">
      <c r="A14" s="12"/>
      <c r="B14" s="12"/>
    </row>
    <row r="15" spans="1:2" ht="15" customHeight="1" x14ac:dyDescent="0.3">
      <c r="A15" s="4" t="s">
        <v>246</v>
      </c>
      <c r="B15" s="5"/>
    </row>
    <row r="16" spans="1:2" ht="15.75" customHeight="1" x14ac:dyDescent="0.3">
      <c r="A16" s="10" t="s">
        <v>247</v>
      </c>
      <c r="B16" s="33">
        <f>'Opening Pro Forma BS'!D22</f>
        <v>3025.0699999999993</v>
      </c>
    </row>
    <row r="17" spans="1:2" ht="15.75" customHeight="1" x14ac:dyDescent="0.3">
      <c r="A17" s="10" t="s">
        <v>248</v>
      </c>
      <c r="B17" s="11">
        <f ca="1">B13</f>
        <v>15873.818046089627</v>
      </c>
    </row>
    <row r="18" spans="1:2" ht="15" customHeight="1" x14ac:dyDescent="0.3">
      <c r="A18" s="8" t="s">
        <v>134</v>
      </c>
      <c r="B18" s="22">
        <f>'Transaction Assumptions'!B8</f>
        <v>5</v>
      </c>
    </row>
    <row r="19" spans="1:2" ht="15" customHeight="1" x14ac:dyDescent="0.3">
      <c r="A19" s="12"/>
      <c r="B19" s="12"/>
    </row>
    <row r="20" spans="1:2" ht="15.75" customHeight="1" x14ac:dyDescent="0.3">
      <c r="A20" s="10" t="s">
        <v>249</v>
      </c>
      <c r="B20" s="36">
        <f ca="1">B17/B16</f>
        <v>5.2474217277913011</v>
      </c>
    </row>
    <row r="21" spans="1:2" ht="15.75" customHeight="1" x14ac:dyDescent="0.3">
      <c r="A21" s="10" t="s">
        <v>250</v>
      </c>
      <c r="B21" s="31">
        <f ca="1">(B17/B16)^(1/B18)-1</f>
        <v>0.39312213872379198</v>
      </c>
    </row>
    <row r="22" spans="1:2" ht="15" customHeight="1" x14ac:dyDescent="0.3">
      <c r="A22" s="12"/>
      <c r="B22" s="12"/>
    </row>
    <row r="23" spans="1:2" ht="15" customHeight="1" x14ac:dyDescent="0.3">
      <c r="A23" s="24" t="s">
        <v>251</v>
      </c>
      <c r="B23" s="19"/>
    </row>
    <row r="24" spans="1:2" ht="15" customHeight="1" x14ac:dyDescent="0.3">
      <c r="A24" s="37"/>
      <c r="B24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tabSelected="1" zoomScaleNormal="100" workbookViewId="0"/>
  </sheetViews>
  <sheetFormatPr defaultColWidth="8.6640625" defaultRowHeight="14.4" x14ac:dyDescent="0.3"/>
  <cols>
    <col min="1" max="1" width="4" customWidth="1"/>
    <col min="2" max="7" width="13" customWidth="1"/>
  </cols>
  <sheetData>
    <row r="1" spans="1:8" ht="15.75" customHeight="1" x14ac:dyDescent="0.35">
      <c r="A1" s="1" t="s">
        <v>252</v>
      </c>
    </row>
    <row r="2" spans="1:8" ht="15" customHeight="1" x14ac:dyDescent="0.3">
      <c r="A2" s="2" t="s">
        <v>253</v>
      </c>
    </row>
    <row r="3" spans="1:8" ht="15" customHeight="1" x14ac:dyDescent="0.3">
      <c r="A3" s="38"/>
    </row>
    <row r="4" spans="1:8" ht="15" customHeight="1" x14ac:dyDescent="0.3">
      <c r="A4" s="39" t="s">
        <v>254</v>
      </c>
    </row>
    <row r="5" spans="1:8" ht="19.5" customHeight="1" x14ac:dyDescent="0.3">
      <c r="B5" s="40" t="s">
        <v>255</v>
      </c>
      <c r="C5" s="40" t="s">
        <v>256</v>
      </c>
      <c r="D5" s="40" t="s">
        <v>257</v>
      </c>
      <c r="E5" s="40" t="s">
        <v>258</v>
      </c>
      <c r="F5" s="40" t="s">
        <v>259</v>
      </c>
      <c r="G5" s="40" t="s">
        <v>260</v>
      </c>
      <c r="H5" s="41"/>
    </row>
    <row r="6" spans="1:8" ht="15" customHeight="1" x14ac:dyDescent="0.3">
      <c r="B6" s="42" t="s">
        <v>256</v>
      </c>
      <c r="C6" s="43">
        <v>0.55665423630025601</v>
      </c>
      <c r="D6" s="43">
        <v>0.61203563350798296</v>
      </c>
      <c r="E6" s="43">
        <v>0.66071070806659005</v>
      </c>
      <c r="F6" s="43">
        <v>0.70426918526681903</v>
      </c>
      <c r="G6" s="43">
        <v>0.74378211051198395</v>
      </c>
    </row>
    <row r="7" spans="1:8" ht="15" customHeight="1" x14ac:dyDescent="0.3">
      <c r="B7" s="42" t="s">
        <v>257</v>
      </c>
      <c r="C7" s="44">
        <v>0.345261470967335</v>
      </c>
      <c r="D7" s="45">
        <v>0.39312210574064499</v>
      </c>
      <c r="E7" s="44">
        <v>0.43518713268958797</v>
      </c>
      <c r="F7" s="44">
        <v>0.472830393309073</v>
      </c>
      <c r="G7" s="44">
        <v>0.50697748564209499</v>
      </c>
    </row>
    <row r="8" spans="1:8" ht="15" customHeight="1" x14ac:dyDescent="0.3">
      <c r="B8" s="42" t="s">
        <v>258</v>
      </c>
      <c r="C8" s="43">
        <v>0.23752500031272</v>
      </c>
      <c r="D8" s="43">
        <v>0.28155267325292399</v>
      </c>
      <c r="E8" s="43">
        <v>0.32024888481595398</v>
      </c>
      <c r="F8" s="43">
        <v>0.35487745116923203</v>
      </c>
      <c r="G8" s="43">
        <v>0.38628984300686797</v>
      </c>
    </row>
    <row r="9" spans="1:8" ht="15" customHeight="1" x14ac:dyDescent="0.3">
      <c r="B9" s="42" t="s">
        <v>259</v>
      </c>
      <c r="C9" s="44">
        <v>0.16695358416584699</v>
      </c>
      <c r="D9" s="44">
        <v>0.208470523805103</v>
      </c>
      <c r="E9" s="44">
        <v>0.24496003534281499</v>
      </c>
      <c r="F9" s="44">
        <v>0.27761386424346002</v>
      </c>
      <c r="G9" s="44">
        <v>0.30723492501628302</v>
      </c>
    </row>
    <row r="10" spans="1:8" ht="15" customHeight="1" x14ac:dyDescent="0.3">
      <c r="B10" s="42" t="s">
        <v>260</v>
      </c>
      <c r="C10" s="43">
        <v>0.11523254518477399</v>
      </c>
      <c r="D10" s="43">
        <v>0.15490939513872201</v>
      </c>
      <c r="E10" s="43">
        <v>0.18978163973946999</v>
      </c>
      <c r="F10" s="43">
        <v>0.220988204601196</v>
      </c>
      <c r="G10" s="43">
        <v>0.24929641792260401</v>
      </c>
    </row>
    <row r="11" spans="1:8" ht="15" customHeight="1" x14ac:dyDescent="0.3"/>
    <row r="12" spans="1:8" ht="15" customHeight="1" x14ac:dyDescent="0.3">
      <c r="A12" s="46"/>
    </row>
    <row r="13" spans="1:8" ht="15" customHeight="1" x14ac:dyDescent="0.3">
      <c r="A13" s="39" t="s">
        <v>261</v>
      </c>
    </row>
    <row r="14" spans="1:8" ht="15" customHeight="1" x14ac:dyDescent="0.3">
      <c r="A14" s="47"/>
      <c r="B14" s="40" t="s">
        <v>262</v>
      </c>
      <c r="C14" s="40" t="s">
        <v>256</v>
      </c>
      <c r="D14" s="40" t="s">
        <v>257</v>
      </c>
      <c r="E14" s="40" t="s">
        <v>258</v>
      </c>
      <c r="F14" s="40" t="s">
        <v>259</v>
      </c>
      <c r="G14" s="40" t="s">
        <v>260</v>
      </c>
    </row>
    <row r="15" spans="1:8" ht="15" customHeight="1" x14ac:dyDescent="0.3">
      <c r="B15" s="42" t="s">
        <v>263</v>
      </c>
      <c r="C15" s="48">
        <v>2.3919595270885998</v>
      </c>
      <c r="D15" s="48">
        <v>2.7214664250232801</v>
      </c>
      <c r="E15" s="48">
        <v>3.0509733229579599</v>
      </c>
      <c r="F15" s="48">
        <v>3.3804802208926401</v>
      </c>
      <c r="G15" s="48">
        <v>3.7099871188273101</v>
      </c>
    </row>
    <row r="16" spans="1:8" ht="15" customHeight="1" x14ac:dyDescent="0.3">
      <c r="B16" s="42" t="s">
        <v>264</v>
      </c>
      <c r="C16" s="49">
        <v>2.6570905013739701</v>
      </c>
      <c r="D16" s="49">
        <v>3.0704284199948799</v>
      </c>
      <c r="E16" s="49">
        <v>3.4837663386158</v>
      </c>
      <c r="F16" s="49">
        <v>3.8971042572367098</v>
      </c>
      <c r="G16" s="49">
        <v>4.3104421758576299</v>
      </c>
    </row>
    <row r="17" spans="1:8" ht="15" customHeight="1" x14ac:dyDescent="0.3">
      <c r="A17" s="38"/>
      <c r="B17" s="42" t="s">
        <v>265</v>
      </c>
      <c r="C17" s="48">
        <v>3.1981007092015998</v>
      </c>
      <c r="D17" s="48">
        <v>3.75248031247793</v>
      </c>
      <c r="E17" s="48">
        <v>4.3068599157542602</v>
      </c>
      <c r="F17" s="48">
        <v>4.8612395190305797</v>
      </c>
      <c r="G17" s="48">
        <v>5.4156191223069099</v>
      </c>
    </row>
    <row r="18" spans="1:8" ht="15" customHeight="1" x14ac:dyDescent="0.3">
      <c r="A18" s="50"/>
      <c r="B18" s="42" t="s">
        <v>266</v>
      </c>
      <c r="C18" s="49">
        <v>4.4058886769938796</v>
      </c>
      <c r="D18" s="51">
        <v>5.2474211066093197</v>
      </c>
      <c r="E18" s="49">
        <v>6.0889535362247598</v>
      </c>
      <c r="F18" s="49">
        <v>6.9304859658402096</v>
      </c>
      <c r="G18" s="49">
        <v>7.7720183954556497</v>
      </c>
    </row>
    <row r="19" spans="1:8" ht="19.5" customHeight="1" x14ac:dyDescent="0.3">
      <c r="B19" s="42" t="s">
        <v>256</v>
      </c>
      <c r="C19" s="48">
        <v>8.3787734316673106</v>
      </c>
      <c r="D19" s="48">
        <v>10.124588053321</v>
      </c>
      <c r="E19" s="48">
        <v>11.8704026749747</v>
      </c>
      <c r="F19" s="48">
        <v>13.616217296628401</v>
      </c>
      <c r="G19" s="48">
        <v>15.3620319182822</v>
      </c>
      <c r="H19" s="41"/>
    </row>
    <row r="20" spans="1:8" ht="15" customHeight="1" x14ac:dyDescent="0.3">
      <c r="B20" s="52"/>
      <c r="C20" s="53"/>
      <c r="D20" s="53"/>
      <c r="E20" s="53"/>
      <c r="F20" s="53"/>
      <c r="G20" s="53"/>
    </row>
    <row r="21" spans="1:8" ht="15" customHeight="1" x14ac:dyDescent="0.3">
      <c r="A21" s="2" t="s">
        <v>267</v>
      </c>
      <c r="B21" s="52"/>
      <c r="C21" s="53"/>
      <c r="D21" s="53"/>
      <c r="E21" s="53"/>
      <c r="F21" s="53"/>
      <c r="G21" s="53"/>
    </row>
    <row r="22" spans="1:8" ht="15" customHeight="1" x14ac:dyDescent="0.3">
      <c r="A22" s="2" t="s">
        <v>268</v>
      </c>
      <c r="B22" s="52"/>
      <c r="C22" s="53"/>
      <c r="D22" s="53"/>
      <c r="E22" s="53"/>
      <c r="F22" s="53"/>
      <c r="G22" s="53"/>
    </row>
    <row r="23" spans="1:8" ht="15" customHeight="1" x14ac:dyDescent="0.3">
      <c r="B23" s="52"/>
      <c r="C23" s="53"/>
      <c r="D23" s="53"/>
      <c r="E23" s="53"/>
      <c r="F23" s="53"/>
      <c r="G23" s="53"/>
    </row>
    <row r="24" spans="1:8" ht="15" customHeight="1" x14ac:dyDescent="0.3">
      <c r="B24" s="52"/>
      <c r="C24" s="53"/>
      <c r="D24" s="53"/>
      <c r="E24" s="53"/>
      <c r="F24" s="53"/>
      <c r="G24" s="53"/>
    </row>
    <row r="25" spans="1:8" ht="15" customHeight="1" x14ac:dyDescent="0.3"/>
    <row r="26" spans="1:8" ht="15" customHeight="1" x14ac:dyDescent="0.3">
      <c r="A26" s="46"/>
    </row>
    <row r="27" spans="1:8" ht="15" customHeight="1" x14ac:dyDescent="0.3">
      <c r="A27" s="47"/>
    </row>
    <row r="28" spans="1:8" ht="15" customHeight="1" x14ac:dyDescent="0.3">
      <c r="A28" s="47"/>
    </row>
    <row r="29" spans="1:8" ht="15" customHeight="1" x14ac:dyDescent="0.3"/>
    <row r="30" spans="1:8" ht="15" customHeight="1" x14ac:dyDescent="0.3"/>
    <row r="31" spans="1:8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Profit &amp; Loss</vt:lpstr>
      <vt:lpstr>Cash Flow Statement</vt:lpstr>
      <vt:lpstr>Transaction Assumptions</vt:lpstr>
      <vt:lpstr>Sources &amp; Uses</vt:lpstr>
      <vt:lpstr>Opening Pro Forma BS</vt:lpstr>
      <vt:lpstr>Operating Model</vt:lpstr>
      <vt:lpstr>Debt Schedule</vt:lpstr>
      <vt:lpstr>Returns &amp; Exit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Harsahib Singh</cp:lastModifiedBy>
  <cp:revision>0</cp:revision>
  <dcterms:created xsi:type="dcterms:W3CDTF">2026-06-26T07:36:11Z</dcterms:created>
  <dcterms:modified xsi:type="dcterms:W3CDTF">2026-07-02T07:47:44Z</dcterms:modified>
  <dc:language>en-US</dc:language>
</cp:coreProperties>
</file>